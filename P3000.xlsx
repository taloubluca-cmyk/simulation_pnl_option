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e735747-my.sharepoint.com/personal/l_taloub_touton_com/Documents/"/>
    </mc:Choice>
  </mc:AlternateContent>
  <xr:revisionPtr revIDLastSave="65" documentId="8_{94665B5C-7C03-4FB1-8FFD-F3CF38FA8684}" xr6:coauthVersionLast="47" xr6:coauthVersionMax="47" xr10:uidLastSave="{5F1A47B1-084E-4425-8D53-1E4D929B3B97}"/>
  <bookViews>
    <workbookView xWindow="-120" yWindow="-120" windowWidth="29040" windowHeight="15720" activeTab="2" xr2:uid="{4F29FF6E-4C7C-478E-AE5D-A1A1F7B13829}"/>
  </bookViews>
  <sheets>
    <sheet name="Sep26" sheetId="1" r:id="rId1"/>
    <sheet name="Jul26" sheetId="2" r:id="rId2"/>
    <sheet name="IV Sep26" sheetId="3" r:id="rId3"/>
    <sheet name="IV Jul26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C1" i="5" l="1"/>
  <c r="FB1" i="5"/>
  <c r="FA1" i="5"/>
  <c r="EZ1" i="5"/>
  <c r="EY1" i="5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L150" i="3"/>
  <c r="L151" i="3"/>
  <c r="L152" i="3"/>
  <c r="L153" i="3"/>
  <c r="L154" i="3"/>
  <c r="L155" i="3"/>
  <c r="L156" i="3"/>
  <c r="L157" i="3"/>
  <c r="L158" i="3"/>
  <c r="C67" i="2"/>
  <c r="B20" i="1"/>
  <c r="D47" i="1"/>
  <c r="C63" i="2"/>
  <c r="D72" i="1"/>
  <c r="C40" i="2"/>
  <c r="E58" i="2"/>
  <c r="E40" i="1"/>
  <c r="E79" i="1"/>
  <c r="C35" i="2"/>
  <c r="B25" i="1"/>
  <c r="B21" i="2"/>
  <c r="E70" i="1"/>
  <c r="B12" i="2"/>
  <c r="D19" i="2"/>
  <c r="E70" i="2"/>
  <c r="E48" i="2"/>
  <c r="B15" i="1"/>
  <c r="D4" i="2"/>
  <c r="D44" i="1"/>
  <c r="E61" i="2"/>
  <c r="C85" i="2"/>
  <c r="D41" i="2"/>
  <c r="E39" i="1"/>
  <c r="E54" i="2"/>
  <c r="B17" i="2"/>
  <c r="B23" i="1"/>
  <c r="D75" i="1"/>
  <c r="E80" i="2"/>
  <c r="E48" i="1"/>
  <c r="E14" i="2"/>
  <c r="D2" i="1"/>
  <c r="B45" i="2"/>
  <c r="B11" i="2"/>
  <c r="C55" i="2"/>
  <c r="B39" i="1"/>
  <c r="D50" i="2"/>
  <c r="E52" i="2"/>
  <c r="E53" i="2"/>
  <c r="E77" i="1"/>
  <c r="C66" i="2"/>
  <c r="B28" i="1"/>
  <c r="C58" i="1"/>
  <c r="C6" i="1"/>
  <c r="D48" i="1"/>
  <c r="B21" i="1"/>
  <c r="B50" i="1"/>
  <c r="C43" i="2"/>
  <c r="E82" i="1"/>
  <c r="D76" i="2"/>
  <c r="E14" i="1"/>
  <c r="B3" i="2"/>
  <c r="D14" i="1"/>
  <c r="C37" i="1"/>
  <c r="B72" i="1"/>
  <c r="E71" i="2"/>
  <c r="E29" i="1"/>
  <c r="B67" i="1"/>
  <c r="C41" i="2"/>
  <c r="C36" i="2"/>
  <c r="C30" i="2"/>
  <c r="C43" i="1"/>
  <c r="B61" i="1"/>
  <c r="B2" i="1"/>
  <c r="D15" i="2"/>
  <c r="D69" i="2"/>
  <c r="E2" i="1"/>
  <c r="C72" i="1"/>
  <c r="C11" i="1"/>
  <c r="C48" i="2"/>
  <c r="C55" i="1"/>
  <c r="D51" i="2"/>
  <c r="D86" i="1"/>
  <c r="C33" i="1"/>
  <c r="B33" i="2"/>
  <c r="B13" i="2"/>
  <c r="D17" i="2"/>
  <c r="B56" i="1"/>
  <c r="B14" i="2"/>
  <c r="D57" i="2"/>
  <c r="C24" i="1"/>
  <c r="E81" i="1"/>
  <c r="E24" i="2"/>
  <c r="C2" i="1"/>
  <c r="E21" i="2"/>
  <c r="D44" i="2"/>
  <c r="D50" i="1"/>
  <c r="B87" i="1"/>
  <c r="B18" i="2"/>
  <c r="B34" i="2"/>
  <c r="B74" i="1"/>
  <c r="C38" i="2"/>
  <c r="B53" i="1"/>
  <c r="C52" i="2"/>
  <c r="E78" i="1"/>
  <c r="C16" i="1"/>
  <c r="E11" i="1"/>
  <c r="E25" i="1"/>
  <c r="D11" i="1"/>
  <c r="D15" i="1"/>
  <c r="D32" i="2"/>
  <c r="E21" i="1"/>
  <c r="D27" i="2"/>
  <c r="C69" i="1"/>
  <c r="D56" i="1"/>
  <c r="C75" i="2"/>
  <c r="E50" i="2"/>
  <c r="E85" i="2"/>
  <c r="B24" i="2"/>
  <c r="C45" i="1"/>
  <c r="B35" i="1"/>
  <c r="C26" i="1"/>
  <c r="E33" i="1"/>
  <c r="E32" i="1"/>
  <c r="B62" i="1"/>
  <c r="E58" i="1"/>
  <c r="B75" i="2"/>
  <c r="C4" i="2"/>
  <c r="E31" i="2"/>
  <c r="D59" i="1"/>
  <c r="C59" i="2"/>
  <c r="B44" i="2"/>
  <c r="B59" i="1"/>
  <c r="D55" i="1"/>
  <c r="E8" i="1"/>
  <c r="B66" i="2"/>
  <c r="B61" i="2"/>
  <c r="E54" i="1"/>
  <c r="B60" i="2"/>
  <c r="D68" i="1"/>
  <c r="D85" i="2"/>
  <c r="E10" i="1"/>
  <c r="D52" i="1"/>
  <c r="B3" i="1"/>
  <c r="E28" i="1"/>
  <c r="E64" i="1"/>
  <c r="D8" i="1"/>
  <c r="E22" i="1"/>
  <c r="D71" i="2"/>
  <c r="C64" i="2"/>
  <c r="E27" i="2"/>
  <c r="B78" i="2"/>
  <c r="E26" i="1"/>
  <c r="D29" i="2"/>
  <c r="C46" i="1"/>
  <c r="D79" i="1"/>
  <c r="C28" i="2"/>
  <c r="D70" i="1"/>
  <c r="E60" i="2"/>
  <c r="E17" i="1"/>
  <c r="B87" i="2"/>
  <c r="D6" i="1"/>
  <c r="B81" i="2"/>
  <c r="E57" i="2"/>
  <c r="D29" i="1"/>
  <c r="C4" i="1"/>
  <c r="D61" i="2"/>
  <c r="E40" i="2"/>
  <c r="E4" i="1"/>
  <c r="B82" i="1"/>
  <c r="E81" i="2"/>
  <c r="C3" i="1"/>
  <c r="C66" i="1"/>
  <c r="D41" i="1"/>
  <c r="C58" i="2"/>
  <c r="D53" i="1"/>
  <c r="D60" i="1"/>
  <c r="B36" i="1"/>
  <c r="E78" i="2"/>
  <c r="D14" i="2"/>
  <c r="B67" i="2"/>
  <c r="B64" i="1"/>
  <c r="D57" i="1"/>
  <c r="C6" i="2"/>
  <c r="E13" i="2"/>
  <c r="B65" i="1"/>
  <c r="E79" i="2"/>
  <c r="E10" i="2"/>
  <c r="D12" i="1"/>
  <c r="D20" i="1"/>
  <c r="D72" i="2"/>
  <c r="C30" i="1"/>
  <c r="B20" i="2"/>
  <c r="E72" i="1"/>
  <c r="E62" i="1"/>
  <c r="C61" i="2"/>
  <c r="B8" i="1"/>
  <c r="D86" i="2"/>
  <c r="C20" i="2"/>
  <c r="D67" i="2"/>
  <c r="C86" i="2"/>
  <c r="C87" i="2"/>
  <c r="B45" i="1"/>
  <c r="C31" i="2"/>
  <c r="B40" i="2"/>
  <c r="B31" i="1"/>
  <c r="E47" i="2"/>
  <c r="C48" i="1"/>
  <c r="D20" i="2"/>
  <c r="C63" i="1"/>
  <c r="D85" i="1"/>
  <c r="B47" i="1"/>
  <c r="B49" i="1"/>
  <c r="E30" i="2"/>
  <c r="C13" i="1"/>
  <c r="D59" i="2"/>
  <c r="D45" i="1"/>
  <c r="C47" i="2"/>
  <c r="D12" i="2"/>
  <c r="E56" i="1"/>
  <c r="D32" i="1"/>
  <c r="C18" i="2"/>
  <c r="C31" i="1"/>
  <c r="C33" i="2"/>
  <c r="D26" i="1"/>
  <c r="B8" i="2"/>
  <c r="D7" i="2"/>
  <c r="D81" i="1"/>
  <c r="E51" i="2"/>
  <c r="E20" i="2"/>
  <c r="C78" i="2"/>
  <c r="D10" i="1"/>
  <c r="C73" i="2"/>
  <c r="C62" i="2"/>
  <c r="C79" i="1"/>
  <c r="C50" i="1"/>
  <c r="E49" i="2"/>
  <c r="B70" i="1"/>
  <c r="D78" i="1"/>
  <c r="C34" i="1"/>
  <c r="E44" i="1"/>
  <c r="D60" i="2"/>
  <c r="E36" i="2"/>
  <c r="C37" i="2"/>
  <c r="B51" i="2"/>
  <c r="C79" i="2"/>
  <c r="B33" i="1"/>
  <c r="B26" i="1"/>
  <c r="C27" i="2"/>
  <c r="D38" i="1"/>
  <c r="B54" i="1"/>
  <c r="B76" i="1"/>
  <c r="E55" i="2"/>
  <c r="E5" i="1"/>
  <c r="B14" i="1"/>
  <c r="D11" i="2"/>
  <c r="C81" i="1"/>
  <c r="C70" i="2"/>
  <c r="B31" i="2"/>
  <c r="E28" i="2"/>
  <c r="C59" i="1"/>
  <c r="B25" i="2"/>
  <c r="C7" i="1"/>
  <c r="E66" i="1"/>
  <c r="C22" i="1"/>
  <c r="B36" i="2"/>
  <c r="E76" i="2"/>
  <c r="D49" i="1"/>
  <c r="E6" i="2"/>
  <c r="B50" i="2"/>
  <c r="C74" i="2"/>
  <c r="E3" i="1"/>
  <c r="B80" i="1"/>
  <c r="C12" i="2"/>
  <c r="B30" i="1"/>
  <c r="C11" i="2"/>
  <c r="E35" i="1"/>
  <c r="D81" i="2"/>
  <c r="B72" i="2"/>
  <c r="D21" i="1"/>
  <c r="C17" i="1"/>
  <c r="B15" i="2"/>
  <c r="E86" i="2"/>
  <c r="C23" i="2"/>
  <c r="C10" i="2"/>
  <c r="D71" i="1"/>
  <c r="D48" i="2"/>
  <c r="B63" i="1"/>
  <c r="E80" i="1"/>
  <c r="B22" i="2"/>
  <c r="E29" i="2"/>
  <c r="D82" i="2"/>
  <c r="E60" i="1"/>
  <c r="B28" i="2"/>
  <c r="E65" i="1"/>
  <c r="D87" i="1"/>
  <c r="E72" i="2"/>
  <c r="E26" i="2"/>
  <c r="D33" i="2"/>
  <c r="C16" i="2"/>
  <c r="D62" i="1"/>
  <c r="B6" i="2"/>
  <c r="B34" i="1"/>
  <c r="C25" i="2"/>
  <c r="E63" i="1"/>
  <c r="C40" i="1"/>
  <c r="D31" i="1"/>
  <c r="B73" i="1"/>
  <c r="C34" i="2"/>
  <c r="E36" i="1"/>
  <c r="B55" i="2"/>
  <c r="E62" i="2"/>
  <c r="E20" i="1"/>
  <c r="E64" i="2"/>
  <c r="C76" i="1"/>
  <c r="E47" i="1"/>
  <c r="C5" i="2"/>
  <c r="E73" i="1"/>
  <c r="C32" i="2"/>
  <c r="C64" i="1"/>
  <c r="C3" i="2"/>
  <c r="C42" i="2"/>
  <c r="C80" i="2"/>
  <c r="B58" i="2"/>
  <c r="D21" i="2"/>
  <c r="E75" i="1"/>
  <c r="B37" i="2"/>
  <c r="C39" i="2"/>
  <c r="E84" i="2"/>
  <c r="D24" i="1"/>
  <c r="D22" i="2"/>
  <c r="E59" i="2"/>
  <c r="E43" i="1"/>
  <c r="B55" i="1"/>
  <c r="D30" i="2"/>
  <c r="B24" i="1"/>
  <c r="E19" i="1"/>
  <c r="E37" i="2"/>
  <c r="D9" i="2"/>
  <c r="C49" i="2"/>
  <c r="D3" i="2"/>
  <c r="B74" i="2"/>
  <c r="D63" i="1"/>
  <c r="C65" i="2"/>
  <c r="C69" i="2"/>
  <c r="E76" i="1"/>
  <c r="B46" i="1"/>
  <c r="D80" i="1"/>
  <c r="D35" i="1"/>
  <c r="C75" i="1"/>
  <c r="B68" i="1"/>
  <c r="E68" i="2"/>
  <c r="C78" i="1"/>
  <c r="B29" i="2"/>
  <c r="B71" i="1"/>
  <c r="B49" i="2"/>
  <c r="B75" i="1"/>
  <c r="C9" i="2"/>
  <c r="B4" i="2"/>
  <c r="D27" i="1"/>
  <c r="B38" i="1"/>
  <c r="D39" i="1"/>
  <c r="C14" i="1"/>
  <c r="D13" i="2"/>
  <c r="C21" i="2"/>
  <c r="D51" i="1"/>
  <c r="D36" i="1"/>
  <c r="C86" i="1"/>
  <c r="C36" i="1"/>
  <c r="E12" i="1"/>
  <c r="D22" i="1"/>
  <c r="E87" i="2"/>
  <c r="E74" i="2"/>
  <c r="C60" i="1"/>
  <c r="D83" i="2"/>
  <c r="E23" i="2"/>
  <c r="C44" i="1"/>
  <c r="D36" i="2"/>
  <c r="E84" i="1"/>
  <c r="C17" i="2"/>
  <c r="E71" i="1"/>
  <c r="D47" i="2"/>
  <c r="D17" i="1"/>
  <c r="E83" i="1"/>
  <c r="B27" i="1"/>
  <c r="B41" i="1"/>
  <c r="B81" i="1"/>
  <c r="C46" i="2"/>
  <c r="B73" i="2"/>
  <c r="B10" i="1"/>
  <c r="D16" i="1"/>
  <c r="E19" i="2"/>
  <c r="C38" i="1"/>
  <c r="C68" i="2"/>
  <c r="D5" i="1"/>
  <c r="D83" i="1"/>
  <c r="D54" i="2"/>
  <c r="E8" i="2"/>
  <c r="E18" i="1"/>
  <c r="E61" i="1"/>
  <c r="E39" i="2"/>
  <c r="B26" i="2"/>
  <c r="D18" i="2"/>
  <c r="E50" i="1"/>
  <c r="B69" i="2"/>
  <c r="B44" i="1"/>
  <c r="B4" i="1"/>
  <c r="E74" i="1"/>
  <c r="E63" i="2"/>
  <c r="D6" i="2"/>
  <c r="E11" i="2"/>
  <c r="B57" i="1"/>
  <c r="D64" i="1"/>
  <c r="B19" i="1"/>
  <c r="D34" i="2"/>
  <c r="B7" i="2"/>
  <c r="B43" i="1"/>
  <c r="C57" i="1"/>
  <c r="D7" i="1"/>
  <c r="E66" i="2"/>
  <c r="D26" i="2"/>
  <c r="E67" i="1"/>
  <c r="C8" i="1"/>
  <c r="B86" i="1"/>
  <c r="D63" i="2"/>
  <c r="C52" i="1"/>
  <c r="B30" i="2"/>
  <c r="C53" i="2"/>
  <c r="D18" i="1"/>
  <c r="D80" i="2"/>
  <c r="D28" i="2"/>
  <c r="E25" i="2"/>
  <c r="D61" i="1"/>
  <c r="C21" i="1"/>
  <c r="E13" i="1"/>
  <c r="C12" i="1"/>
  <c r="B47" i="2"/>
  <c r="B51" i="1"/>
  <c r="C73" i="1"/>
  <c r="C39" i="1"/>
  <c r="D65" i="1"/>
  <c r="C71" i="2"/>
  <c r="E41" i="1"/>
  <c r="E59" i="1"/>
  <c r="B17" i="1"/>
  <c r="D10" i="2"/>
  <c r="D19" i="1"/>
  <c r="C8" i="2"/>
  <c r="B86" i="2"/>
  <c r="D46" i="1"/>
  <c r="B79" i="2"/>
  <c r="C70" i="1"/>
  <c r="B9" i="2"/>
  <c r="C50" i="2"/>
  <c r="C74" i="1"/>
  <c r="C29" i="2"/>
  <c r="D31" i="2"/>
  <c r="D64" i="2"/>
  <c r="E46" i="2"/>
  <c r="C57" i="2"/>
  <c r="B83" i="1"/>
  <c r="E65" i="2"/>
  <c r="D84" i="2"/>
  <c r="B27" i="2"/>
  <c r="B52" i="1"/>
  <c r="B57" i="2"/>
  <c r="C35" i="1"/>
  <c r="D24" i="2"/>
  <c r="D37" i="2"/>
  <c r="C20" i="1"/>
  <c r="D65" i="2"/>
  <c r="C26" i="2"/>
  <c r="D74" i="2"/>
  <c r="E9" i="1"/>
  <c r="D16" i="2"/>
  <c r="C9" i="1"/>
  <c r="E45" i="2"/>
  <c r="E77" i="2"/>
  <c r="B76" i="2"/>
  <c r="C15" i="1"/>
  <c r="E49" i="1"/>
  <c r="D58" i="1"/>
  <c r="D67" i="1"/>
  <c r="E67" i="2"/>
  <c r="C29" i="1"/>
  <c r="D35" i="2"/>
  <c r="D43" i="2"/>
  <c r="D42" i="1"/>
  <c r="E9" i="2"/>
  <c r="C22" i="2"/>
  <c r="D40" i="1"/>
  <c r="B56" i="2"/>
  <c r="E43" i="2"/>
  <c r="E34" i="1"/>
  <c r="D69" i="1"/>
  <c r="C49" i="1"/>
  <c r="B2" i="2"/>
  <c r="B69" i="1"/>
  <c r="B66" i="1"/>
  <c r="D52" i="2"/>
  <c r="B65" i="2"/>
  <c r="C56" i="1"/>
  <c r="C5" i="1"/>
  <c r="E7" i="2"/>
  <c r="E16" i="1"/>
  <c r="C60" i="2"/>
  <c r="B79" i="1"/>
  <c r="E51" i="1"/>
  <c r="B32" i="1"/>
  <c r="D73" i="1"/>
  <c r="B54" i="2"/>
  <c r="B53" i="2"/>
  <c r="D78" i="2"/>
  <c r="C47" i="1"/>
  <c r="D25" i="2"/>
  <c r="C62" i="1"/>
  <c r="E52" i="1"/>
  <c r="E2" i="2"/>
  <c r="D58" i="2"/>
  <c r="D76" i="1"/>
  <c r="B39" i="2"/>
  <c r="E15" i="1"/>
  <c r="B84" i="2"/>
  <c r="D79" i="2"/>
  <c r="B37" i="1"/>
  <c r="B5" i="1"/>
  <c r="D46" i="2"/>
  <c r="D42" i="2"/>
  <c r="B83" i="2"/>
  <c r="E73" i="2"/>
  <c r="E35" i="2"/>
  <c r="E27" i="1"/>
  <c r="D82" i="1"/>
  <c r="B23" i="2"/>
  <c r="C14" i="2"/>
  <c r="E56" i="2"/>
  <c r="E24" i="1"/>
  <c r="C71" i="1"/>
  <c r="C24" i="2"/>
  <c r="B10" i="2"/>
  <c r="C45" i="2"/>
  <c r="D13" i="1"/>
  <c r="B63" i="2"/>
  <c r="B52" i="2"/>
  <c r="B22" i="1"/>
  <c r="B32" i="2"/>
  <c r="C51" i="2"/>
  <c r="B42" i="2"/>
  <c r="C42" i="1"/>
  <c r="E57" i="1"/>
  <c r="E41" i="2"/>
  <c r="B77" i="2"/>
  <c r="C72" i="2"/>
  <c r="E31" i="1"/>
  <c r="D40" i="2"/>
  <c r="D75" i="2"/>
  <c r="C51" i="1"/>
  <c r="C23" i="1"/>
  <c r="D25" i="1"/>
  <c r="E33" i="2"/>
  <c r="C77" i="2"/>
  <c r="D49" i="2"/>
  <c r="E85" i="1"/>
  <c r="D23" i="1"/>
  <c r="B42" i="1"/>
  <c r="E75" i="2"/>
  <c r="D34" i="1"/>
  <c r="B43" i="2"/>
  <c r="C10" i="1"/>
  <c r="B29" i="1"/>
  <c r="B41" i="2"/>
  <c r="D39" i="2"/>
  <c r="C53" i="1"/>
  <c r="B46" i="2"/>
  <c r="C81" i="2"/>
  <c r="C87" i="1"/>
  <c r="C83" i="1"/>
  <c r="E3" i="2"/>
  <c r="D62" i="2"/>
  <c r="C2" i="2"/>
  <c r="B16" i="2"/>
  <c r="B70" i="2"/>
  <c r="D53" i="2"/>
  <c r="D37" i="1"/>
  <c r="D5" i="2"/>
  <c r="E69" i="1"/>
  <c r="C76" i="2"/>
  <c r="D87" i="2"/>
  <c r="C83" i="2"/>
  <c r="D23" i="2"/>
  <c r="E55" i="1"/>
  <c r="B12" i="1"/>
  <c r="D4" i="1"/>
  <c r="C25" i="1"/>
  <c r="C19" i="1"/>
  <c r="E17" i="2"/>
  <c r="D73" i="2"/>
  <c r="D77" i="2"/>
  <c r="C54" i="2"/>
  <c r="D77" i="1"/>
  <c r="C15" i="2"/>
  <c r="E87" i="1"/>
  <c r="C84" i="2"/>
  <c r="E68" i="1"/>
  <c r="B85" i="2"/>
  <c r="E37" i="1"/>
  <c r="B59" i="2"/>
  <c r="C13" i="2"/>
  <c r="B64" i="2"/>
  <c r="C27" i="1"/>
  <c r="D28" i="1"/>
  <c r="E6" i="1"/>
  <c r="C68" i="1"/>
  <c r="E38" i="2"/>
  <c r="B68" i="2"/>
  <c r="E12" i="2"/>
  <c r="D55" i="2"/>
  <c r="D45" i="2"/>
  <c r="C28" i="1"/>
  <c r="E45" i="1"/>
  <c r="C65" i="1"/>
  <c r="C82" i="1"/>
  <c r="D8" i="2"/>
  <c r="B5" i="2"/>
  <c r="C67" i="1"/>
  <c r="D33" i="1"/>
  <c r="C44" i="2"/>
  <c r="E69" i="2"/>
  <c r="D74" i="1"/>
  <c r="D43" i="1"/>
  <c r="C54" i="1"/>
  <c r="E5" i="2"/>
  <c r="D3" i="1"/>
  <c r="C80" i="1"/>
  <c r="C61" i="1"/>
  <c r="C56" i="2"/>
  <c r="C32" i="1"/>
  <c r="B48" i="2"/>
  <c r="B18" i="1"/>
  <c r="C41" i="1"/>
  <c r="D66" i="2"/>
  <c r="B48" i="1"/>
  <c r="D68" i="2"/>
  <c r="B80" i="2"/>
  <c r="B7" i="1"/>
  <c r="B85" i="1"/>
  <c r="B40" i="1"/>
  <c r="E86" i="1"/>
  <c r="B35" i="2"/>
  <c r="D30" i="1"/>
  <c r="C77" i="1"/>
  <c r="C7" i="2"/>
  <c r="E46" i="1"/>
  <c r="E23" i="1"/>
  <c r="B16" i="1"/>
  <c r="D70" i="2"/>
  <c r="B6" i="1"/>
  <c r="E32" i="2"/>
  <c r="B19" i="2"/>
  <c r="B9" i="1"/>
  <c r="E82" i="2"/>
  <c r="E22" i="2"/>
  <c r="C18" i="1"/>
  <c r="B60" i="1"/>
  <c r="E42" i="2"/>
  <c r="B84" i="1"/>
  <c r="B38" i="2"/>
  <c r="E34" i="2"/>
  <c r="E83" i="2"/>
  <c r="E53" i="1"/>
  <c r="E16" i="2"/>
  <c r="E30" i="1"/>
  <c r="B58" i="1"/>
  <c r="E38" i="1"/>
  <c r="E7" i="1"/>
  <c r="E4" i="2"/>
  <c r="D2" i="2"/>
  <c r="D56" i="2"/>
  <c r="B77" i="1"/>
  <c r="D66" i="1"/>
  <c r="E18" i="2"/>
  <c r="B71" i="2"/>
  <c r="B11" i="1"/>
  <c r="E42" i="1"/>
  <c r="C84" i="1"/>
  <c r="C82" i="2"/>
  <c r="B13" i="1"/>
  <c r="D38" i="2"/>
  <c r="D9" i="1"/>
  <c r="C19" i="2"/>
  <c r="D54" i="1"/>
  <c r="E15" i="2"/>
  <c r="C85" i="1"/>
  <c r="B62" i="2"/>
  <c r="D84" i="1"/>
  <c r="B78" i="1"/>
  <c r="E44" i="2"/>
  <c r="B82" i="2"/>
</calcChain>
</file>

<file path=xl/sharedStrings.xml><?xml version="1.0" encoding="utf-8"?>
<sst xmlns="http://schemas.openxmlformats.org/spreadsheetml/2006/main" count="18" uniqueCount="8">
  <si>
    <t>Date</t>
  </si>
  <si>
    <t>Price</t>
  </si>
  <si>
    <t>IV</t>
  </si>
  <si>
    <t>OI</t>
  </si>
  <si>
    <t>Underlying</t>
  </si>
  <si>
    <t>Maturity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</si>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</sst>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esrtd">
      <tp>
        <v>3375</v>
        <stp/>
        <stp>C 26NC337500-ICE</stp>
        <stp>Strike</stp>
        <tr r="P1" s="5"/>
      </tp>
      <tp>
        <v>3275</v>
        <stp/>
        <stp>C 26NC327500-ICE</stp>
        <stp>Strike</stp>
        <tr r="L1" s="5"/>
      </tp>
      <tp>
        <v>3775</v>
        <stp/>
        <stp>C 26NC377500-ICE</stp>
        <stp>Strike</stp>
        <tr r="AF1" s="5"/>
      </tp>
      <tp>
        <v>3675</v>
        <stp/>
        <stp>C 26NC367500-ICE</stp>
        <stp>Strike</stp>
        <tr r="AB1" s="5"/>
      </tp>
      <tp>
        <v>3575</v>
        <stp/>
        <stp>C 26NC357500-ICE</stp>
        <stp>Strike</stp>
        <tr r="X1" s="5"/>
      </tp>
      <tp>
        <v>3475</v>
        <stp/>
        <stp>C 26NC347500-ICE</stp>
        <stp>Strike</stp>
        <tr r="T1" s="5"/>
      </tp>
      <tp>
        <v>3975</v>
        <stp/>
        <stp>C 26NC397500-ICE</stp>
        <stp>Strike</stp>
        <tr r="AN1" s="5"/>
      </tp>
      <tp>
        <v>3875</v>
        <stp/>
        <stp>C 26NC387500-ICE</stp>
        <stp>Strike</stp>
        <tr r="AJ1" s="5"/>
      </tp>
      <tp>
        <v>6375</v>
        <stp/>
        <stp>C 26NC637500-ICE</stp>
        <stp>Strike</stp>
        <tr r="EF1" s="5"/>
      </tp>
      <tp>
        <v>6275</v>
        <stp/>
        <stp>C 26NC627500-ICE</stp>
        <stp>Strike</stp>
        <tr r="EB1" s="5"/>
      </tp>
      <tp>
        <v>6175</v>
        <stp/>
        <stp>C 26NC617500-ICE</stp>
        <stp>Strike</stp>
        <tr r="DX1" s="5"/>
      </tp>
      <tp>
        <v>6075</v>
        <stp/>
        <stp>C 26NC607500-ICE</stp>
        <stp>Strike</stp>
        <tr r="DT1" s="5"/>
      </tp>
      <tp>
        <v>6675</v>
        <stp/>
        <stp>C 26NC667500-ICE</stp>
        <stp>Strike</stp>
        <tr r="ER1" s="5"/>
      </tp>
      <tp>
        <v>6575</v>
        <stp/>
        <stp>C 26NC657500-ICE</stp>
        <stp>Strike</stp>
        <tr r="EN1" s="5"/>
      </tp>
      <tp>
        <v>6475</v>
        <stp/>
        <stp>C 26NC647500-ICE</stp>
        <stp>Strike</stp>
        <tr r="EJ1" s="5"/>
      </tp>
      <tp>
        <v>5375</v>
        <stp/>
        <stp>C 26NC537500-ICE</stp>
        <stp>Strike</stp>
        <tr r="CR1" s="5"/>
      </tp>
      <tp>
        <v>5275</v>
        <stp/>
        <stp>C 26NC527500-ICE</stp>
        <stp>Strike</stp>
        <tr r="CN1" s="5"/>
      </tp>
      <tp>
        <v>5175</v>
        <stp/>
        <stp>C 26NC517500-ICE</stp>
        <stp>Strike</stp>
        <tr r="CJ1" s="5"/>
      </tp>
      <tp>
        <v>5075</v>
        <stp/>
        <stp>C 26NC507500-ICE</stp>
        <stp>Strike</stp>
        <tr r="CF1" s="5"/>
      </tp>
      <tp>
        <v>5775</v>
        <stp/>
        <stp>C 26NC577500-ICE</stp>
        <stp>Strike</stp>
        <tr r="DH1" s="5"/>
      </tp>
      <tp>
        <v>5675</v>
        <stp/>
        <stp>C 26NC567500-ICE</stp>
        <stp>Strike</stp>
        <tr r="DD1" s="5"/>
      </tp>
      <tp>
        <v>5575</v>
        <stp/>
        <stp>C 26NC557500-ICE</stp>
        <stp>Strike</stp>
        <tr r="CZ1" s="5"/>
      </tp>
      <tp>
        <v>5475</v>
        <stp/>
        <stp>C 26NC547500-ICE</stp>
        <stp>Strike</stp>
        <tr r="CV1" s="5"/>
      </tp>
      <tp>
        <v>5975</v>
        <stp/>
        <stp>C 26NC597500-ICE</stp>
        <stp>Strike</stp>
        <tr r="DP1" s="5"/>
      </tp>
      <tp>
        <v>5875</v>
        <stp/>
        <stp>C 26NC587500-ICE</stp>
        <stp>Strike</stp>
        <tr r="DL1" s="5"/>
      </tp>
      <tp>
        <v>4375</v>
        <stp/>
        <stp>C 26NC437500-ICE</stp>
        <stp>Strike</stp>
        <tr r="BD1" s="5"/>
      </tp>
      <tp>
        <v>4275</v>
        <stp/>
        <stp>C 26NC427500-ICE</stp>
        <stp>Strike</stp>
        <tr r="AZ1" s="5"/>
      </tp>
      <tp>
        <v>4175</v>
        <stp/>
        <stp>C 26NC417500-ICE</stp>
        <stp>Strike</stp>
        <tr r="AV1" s="5"/>
      </tp>
      <tp>
        <v>4075</v>
        <stp/>
        <stp>C 26NC407500-ICE</stp>
        <stp>Strike</stp>
        <tr r="AR1" s="5"/>
      </tp>
      <tp>
        <v>4775</v>
        <stp/>
        <stp>C 26NC477500-ICE</stp>
        <stp>Strike</stp>
        <tr r="BT1" s="5"/>
      </tp>
      <tp>
        <v>4675</v>
        <stp/>
        <stp>C 26NC467500-ICE</stp>
        <stp>Strike</stp>
        <tr r="BP1" s="5"/>
      </tp>
      <tp>
        <v>4575</v>
        <stp/>
        <stp>C 26NC457500-ICE</stp>
        <stp>Strike</stp>
        <tr r="BL1" s="5"/>
      </tp>
      <tp>
        <v>4475</v>
        <stp/>
        <stp>C 26NC447500-ICE</stp>
        <stp>Strike</stp>
        <tr r="BH1" s="5"/>
      </tp>
      <tp>
        <v>4975</v>
        <stp/>
        <stp>C 26NC497500-ICE</stp>
        <stp>Strike</stp>
        <tr r="CB1" s="5"/>
      </tp>
      <tp>
        <v>4875</v>
        <stp/>
        <stp>C 26NC487500-ICE</stp>
        <stp>Strike</stp>
        <tr r="BX1" s="5"/>
      </tp>
    </main>
    <main first="esrtd">
      <tp>
        <v>3350</v>
        <stp/>
        <stp>C 26NC335000-ICE</stp>
        <stp>Strike</stp>
        <tr r="O1" s="5"/>
      </tp>
      <tp>
        <v>3250</v>
        <stp/>
        <stp>C 26NC325000-ICE</stp>
        <stp>Strike</stp>
        <tr r="K1" s="5"/>
      </tp>
      <tp>
        <v>3750</v>
        <stp/>
        <stp>C 26NC375000-ICE</stp>
        <stp>Strike</stp>
        <tr r="AE1" s="5"/>
      </tp>
      <tp>
        <v>3650</v>
        <stp/>
        <stp>C 26NC365000-ICE</stp>
        <stp>Strike</stp>
        <tr r="AA1" s="5"/>
      </tp>
      <tp>
        <v>3550</v>
        <stp/>
        <stp>C 26NC355000-ICE</stp>
        <stp>Strike</stp>
        <tr r="W1" s="5"/>
      </tp>
      <tp>
        <v>3450</v>
        <stp/>
        <stp>C 26NC345000-ICE</stp>
        <stp>Strike</stp>
        <tr r="S1" s="5"/>
      </tp>
      <tp>
        <v>3950</v>
        <stp/>
        <stp>C 26NC395000-ICE</stp>
        <stp>Strike</stp>
        <tr r="AM1" s="5"/>
      </tp>
      <tp>
        <v>3850</v>
        <stp/>
        <stp>C 26NC385000-ICE</stp>
        <stp>Strike</stp>
        <tr r="AI1" s="5"/>
      </tp>
      <tp>
        <v>6350</v>
        <stp/>
        <stp>C 26NC635000-ICE</stp>
        <stp>Strike</stp>
        <tr r="EE1" s="5"/>
      </tp>
      <tp>
        <v>6250</v>
        <stp/>
        <stp>C 26NC625000-ICE</stp>
        <stp>Strike</stp>
        <tr r="EA1" s="5"/>
      </tp>
      <tp>
        <v>6150</v>
        <stp/>
        <stp>C 26NC615000-ICE</stp>
        <stp>Strike</stp>
        <tr r="DW1" s="5"/>
      </tp>
      <tp>
        <v>6050</v>
        <stp/>
        <stp>C 26NC605000-ICE</stp>
        <stp>Strike</stp>
        <tr r="DS1" s="5"/>
      </tp>
      <tp>
        <v>6650</v>
        <stp/>
        <stp>C 26NC665000-ICE</stp>
        <stp>Strike</stp>
        <tr r="EQ1" s="5"/>
      </tp>
      <tp>
        <v>6550</v>
        <stp/>
        <stp>C 26NC655000-ICE</stp>
        <stp>Strike</stp>
        <tr r="EM1" s="5"/>
      </tp>
      <tp>
        <v>6450</v>
        <stp/>
        <stp>C 26NC645000-ICE</stp>
        <stp>Strike</stp>
        <tr r="EI1" s="5"/>
      </tp>
      <tp>
        <v>5350</v>
        <stp/>
        <stp>C 26NC535000-ICE</stp>
        <stp>Strike</stp>
        <tr r="CQ1" s="5"/>
      </tp>
      <tp>
        <v>5250</v>
        <stp/>
        <stp>C 26NC525000-ICE</stp>
        <stp>Strike</stp>
        <tr r="CM1" s="5"/>
      </tp>
      <tp>
        <v>5150</v>
        <stp/>
        <stp>C 26NC515000-ICE</stp>
        <stp>Strike</stp>
        <tr r="CI1" s="5"/>
      </tp>
      <tp>
        <v>5050</v>
        <stp/>
        <stp>C 26NC505000-ICE</stp>
        <stp>Strike</stp>
        <tr r="CE1" s="5"/>
      </tp>
      <tp>
        <v>5750</v>
        <stp/>
        <stp>C 26NC575000-ICE</stp>
        <stp>Strike</stp>
        <tr r="DG1" s="5"/>
      </tp>
      <tp>
        <v>5650</v>
        <stp/>
        <stp>C 26NC565000-ICE</stp>
        <stp>Strike</stp>
        <tr r="DC1" s="5"/>
      </tp>
      <tp>
        <v>5550</v>
        <stp/>
        <stp>C 26NC555000-ICE</stp>
        <stp>Strike</stp>
        <tr r="CY1" s="5"/>
      </tp>
      <tp>
        <v>5450</v>
        <stp/>
        <stp>C 26NC545000-ICE</stp>
        <stp>Strike</stp>
        <tr r="CU1" s="5"/>
      </tp>
      <tp>
        <v>5950</v>
        <stp/>
        <stp>C 26NC595000-ICE</stp>
        <stp>Strike</stp>
        <tr r="DO1" s="5"/>
      </tp>
      <tp>
        <v>5850</v>
        <stp/>
        <stp>C 26NC585000-ICE</stp>
        <stp>Strike</stp>
        <tr r="DK1" s="5"/>
      </tp>
      <tp>
        <v>4350</v>
        <stp/>
        <stp>C 26NC435000-ICE</stp>
        <stp>Strike</stp>
        <tr r="BC1" s="5"/>
      </tp>
      <tp>
        <v>4250</v>
        <stp/>
        <stp>C 26NC425000-ICE</stp>
        <stp>Strike</stp>
        <tr r="AY1" s="5"/>
      </tp>
      <tp>
        <v>4150</v>
        <stp/>
        <stp>C 26NC415000-ICE</stp>
        <stp>Strike</stp>
        <tr r="AU1" s="5"/>
      </tp>
      <tp>
        <v>4050</v>
        <stp/>
        <stp>C 26NC405000-ICE</stp>
        <stp>Strike</stp>
        <tr r="AQ1" s="5"/>
      </tp>
      <tp>
        <v>4750</v>
        <stp/>
        <stp>C 26NC475000-ICE</stp>
        <stp>Strike</stp>
        <tr r="BS1" s="5"/>
      </tp>
      <tp>
        <v>4650</v>
        <stp/>
        <stp>C 26NC465000-ICE</stp>
        <stp>Strike</stp>
        <tr r="BO1" s="5"/>
      </tp>
      <tp>
        <v>4550</v>
        <stp/>
        <stp>C 26NC455000-ICE</stp>
        <stp>Strike</stp>
        <tr r="BK1" s="5"/>
      </tp>
      <tp>
        <v>4450</v>
        <stp/>
        <stp>C 26NC445000-ICE</stp>
        <stp>Strike</stp>
        <tr r="BG1" s="5"/>
      </tp>
      <tp>
        <v>4950</v>
        <stp/>
        <stp>C 26NC495000-ICE</stp>
        <stp>Strike</stp>
        <tr r="CA1" s="5"/>
      </tp>
      <tp>
        <v>4850</v>
        <stp/>
        <stp>C 26NC485000-ICE</stp>
        <stp>Strike</stp>
        <tr r="BW1" s="5"/>
      </tp>
    </main>
    <main first="esrtd">
      <tp>
        <v>3325</v>
        <stp/>
        <stp>C 26NC332500-ICE</stp>
        <stp>Strike</stp>
        <tr r="N1" s="5"/>
      </tp>
      <tp>
        <v>3225</v>
        <stp/>
        <stp>C 26NC322500-ICE</stp>
        <stp>Strike</stp>
        <tr r="J1" s="5"/>
      </tp>
      <tp>
        <v>3725</v>
        <stp/>
        <stp>C 26NC372500-ICE</stp>
        <stp>Strike</stp>
        <tr r="AD1" s="5"/>
      </tp>
      <tp>
        <v>3625</v>
        <stp/>
        <stp>C 26NC362500-ICE</stp>
        <stp>Strike</stp>
        <tr r="Z1" s="5"/>
      </tp>
      <tp>
        <v>3525</v>
        <stp/>
        <stp>C 26NC352500-ICE</stp>
        <stp>Strike</stp>
        <tr r="V1" s="5"/>
      </tp>
      <tp>
        <v>3425</v>
        <stp/>
        <stp>C 26NC342500-ICE</stp>
        <stp>Strike</stp>
        <tr r="R1" s="5"/>
      </tp>
      <tp>
        <v>3925</v>
        <stp/>
        <stp>C 26NC392500-ICE</stp>
        <stp>Strike</stp>
        <tr r="AL1" s="5"/>
      </tp>
      <tp>
        <v>3825</v>
        <stp/>
        <stp>C 26NC382500-ICE</stp>
        <stp>Strike</stp>
        <tr r="AH1" s="5"/>
      </tp>
      <tp>
        <v>6325</v>
        <stp/>
        <stp>C 26NC632500-ICE</stp>
        <stp>Strike</stp>
        <tr r="ED1" s="5"/>
      </tp>
      <tp>
        <v>6225</v>
        <stp/>
        <stp>C 26NC622500-ICE</stp>
        <stp>Strike</stp>
        <tr r="DZ1" s="5"/>
      </tp>
      <tp>
        <v>6125</v>
        <stp/>
        <stp>C 26NC612500-ICE</stp>
        <stp>Strike</stp>
        <tr r="DV1" s="5"/>
      </tp>
      <tp>
        <v>6025</v>
        <stp/>
        <stp>C 26NC602500-ICE</stp>
        <stp>Strike</stp>
        <tr r="DR1" s="5"/>
      </tp>
      <tp>
        <v>6725</v>
        <stp/>
        <stp>C 26NC672500-ICE</stp>
        <stp>Strike</stp>
        <tr r="ET1" s="5"/>
      </tp>
      <tp>
        <v>6625</v>
        <stp/>
        <stp>C 26NC662500-ICE</stp>
        <stp>Strike</stp>
        <tr r="EP1" s="5"/>
      </tp>
      <tp>
        <v>6525</v>
        <stp/>
        <stp>C 26NC652500-ICE</stp>
        <stp>Strike</stp>
        <tr r="EL1" s="5"/>
      </tp>
      <tp>
        <v>6425</v>
        <stp/>
        <stp>C 26NC642500-ICE</stp>
        <stp>Strike</stp>
        <tr r="EH1" s="5"/>
      </tp>
      <tp>
        <v>5325</v>
        <stp/>
        <stp>C 26NC532500-ICE</stp>
        <stp>Strike</stp>
        <tr r="CP1" s="5"/>
      </tp>
      <tp>
        <v>5225</v>
        <stp/>
        <stp>C 26NC522500-ICE</stp>
        <stp>Strike</stp>
        <tr r="CL1" s="5"/>
      </tp>
      <tp>
        <v>5125</v>
        <stp/>
        <stp>C 26NC512500-ICE</stp>
        <stp>Strike</stp>
        <tr r="CH1" s="5"/>
      </tp>
      <tp>
        <v>5025</v>
        <stp/>
        <stp>C 26NC502500-ICE</stp>
        <stp>Strike</stp>
        <tr r="CD1" s="5"/>
      </tp>
      <tp>
        <v>5725</v>
        <stp/>
        <stp>C 26NC572500-ICE</stp>
        <stp>Strike</stp>
        <tr r="DF1" s="5"/>
      </tp>
      <tp>
        <v>5625</v>
        <stp/>
        <stp>C 26NC562500-ICE</stp>
        <stp>Strike</stp>
        <tr r="DB1" s="5"/>
      </tp>
      <tp>
        <v>5525</v>
        <stp/>
        <stp>C 26NC552500-ICE</stp>
        <stp>Strike</stp>
        <tr r="CX1" s="5"/>
      </tp>
      <tp>
        <v>5425</v>
        <stp/>
        <stp>C 26NC542500-ICE</stp>
        <stp>Strike</stp>
        <tr r="CT1" s="5"/>
      </tp>
      <tp>
        <v>5925</v>
        <stp/>
        <stp>C 26NC592500-ICE</stp>
        <stp>Strike</stp>
        <tr r="DN1" s="5"/>
      </tp>
      <tp>
        <v>5825</v>
        <stp/>
        <stp>C 26NC582500-ICE</stp>
        <stp>Strike</stp>
        <tr r="DJ1" s="5"/>
      </tp>
      <tp>
        <v>4325</v>
        <stp/>
        <stp>C 26NC432500-ICE</stp>
        <stp>Strike</stp>
        <tr r="BB1" s="5"/>
      </tp>
      <tp>
        <v>4225</v>
        <stp/>
        <stp>C 26NC422500-ICE</stp>
        <stp>Strike</stp>
        <tr r="AX1" s="5"/>
      </tp>
      <tp>
        <v>4125</v>
        <stp/>
        <stp>C 26NC412500-ICE</stp>
        <stp>Strike</stp>
        <tr r="AT1" s="5"/>
      </tp>
      <tp>
        <v>4025</v>
        <stp/>
        <stp>C 26NC402500-ICE</stp>
        <stp>Strike</stp>
        <tr r="AP1" s="5"/>
      </tp>
      <tp>
        <v>4725</v>
        <stp/>
        <stp>C 26NC472500-ICE</stp>
        <stp>Strike</stp>
        <tr r="BR1" s="5"/>
      </tp>
      <tp>
        <v>4625</v>
        <stp/>
        <stp>C 26NC462500-ICE</stp>
        <stp>Strike</stp>
        <tr r="BN1" s="5"/>
      </tp>
      <tp>
        <v>4525</v>
        <stp/>
        <stp>C 26NC452500-ICE</stp>
        <stp>Strike</stp>
        <tr r="BJ1" s="5"/>
      </tp>
      <tp>
        <v>4425</v>
        <stp/>
        <stp>C 26NC442500-ICE</stp>
        <stp>Strike</stp>
        <tr r="BF1" s="5"/>
      </tp>
      <tp>
        <v>4925</v>
        <stp/>
        <stp>C 26NC492500-ICE</stp>
        <stp>Strike</stp>
        <tr r="BZ1" s="5"/>
      </tp>
      <tp>
        <v>4825</v>
        <stp/>
        <stp>C 26NC482500-ICE</stp>
        <stp>Strike</stp>
        <tr r="BV1" s="5"/>
      </tp>
      <tp>
        <v>3300</v>
        <stp/>
        <stp>C 26NC330000-ICE</stp>
        <stp>Strike</stp>
        <tr r="M1" s="5"/>
      </tp>
      <tp>
        <v>3200</v>
        <stp/>
        <stp>C 26NC320000-ICE</stp>
        <stp>Strike</stp>
        <tr r="I1" s="5"/>
      </tp>
      <tp>
        <v>3000</v>
        <stp/>
        <stp>C 26NC300000-ICE</stp>
        <stp>Strike</stp>
        <tr r="H1" s="5"/>
      </tp>
      <tp>
        <v>3700</v>
        <stp/>
        <stp>C 26NC370000-ICE</stp>
        <stp>Strike</stp>
        <tr r="AC1" s="5"/>
      </tp>
      <tp>
        <v>3600</v>
        <stp/>
        <stp>C 26NC360000-ICE</stp>
        <stp>Strike</stp>
        <tr r="Y1" s="5"/>
      </tp>
      <tp>
        <v>3500</v>
        <stp/>
        <stp>C 26NC350000-ICE</stp>
        <stp>Strike</stp>
        <tr r="U1" s="5"/>
      </tp>
      <tp>
        <v>3400</v>
        <stp/>
        <stp>C 26NC340000-ICE</stp>
        <stp>Strike</stp>
        <tr r="Q1" s="5"/>
      </tp>
      <tp>
        <v>3900</v>
        <stp/>
        <stp>C 26NC390000-ICE</stp>
        <stp>Strike</stp>
        <tr r="AK1" s="5"/>
      </tp>
      <tp>
        <v>3800</v>
        <stp/>
        <stp>C 26NC380000-ICE</stp>
        <stp>Strike</stp>
        <tr r="AG1" s="5"/>
      </tp>
      <tp>
        <v>2000</v>
        <stp/>
        <stp>C 26NC200000-ICE</stp>
        <stp>Strike</stp>
        <tr r="D1" s="5"/>
      </tp>
      <tp>
        <v>2500</v>
        <stp/>
        <stp>C 26NC250000-ICE</stp>
        <stp>Strike</stp>
        <tr r="E1" s="5"/>
      </tp>
      <tp>
        <v>2900</v>
        <stp/>
        <stp>C 26NC290000-ICE</stp>
        <stp>Strike</stp>
        <tr r="G1" s="5"/>
      </tp>
      <tp>
        <v>2800</v>
        <stp/>
        <stp>C 26NC280000-ICE</stp>
        <stp>Strike</stp>
        <tr r="F1" s="5"/>
      </tp>
      <tp>
        <v>7000</v>
        <stp/>
        <stp>C 26NC700000-ICE</stp>
        <stp>Strike</stp>
        <tr r="L150" s="3"/>
        <tr r="EU1" s="5"/>
      </tp>
      <tp>
        <v>7700</v>
        <stp/>
        <stp>C 26NC770000-ICE</stp>
        <stp>Strike</stp>
        <tr r="L152" s="3"/>
        <tr r="EW1" s="5"/>
      </tp>
      <tp>
        <v>7500</v>
        <stp/>
        <stp>C 26NC750000-ICE</stp>
        <stp>Strike</stp>
        <tr r="L151" s="3"/>
        <tr r="EV1" s="5"/>
      </tp>
      <tp>
        <v>6300</v>
        <stp/>
        <stp>C 26NC630000-ICE</stp>
        <stp>Strike</stp>
        <tr r="EC1" s="5"/>
      </tp>
      <tp>
        <v>6200</v>
        <stp/>
        <stp>C 26NC620000-ICE</stp>
        <stp>Strike</stp>
        <tr r="DY1" s="5"/>
      </tp>
      <tp>
        <v>6100</v>
        <stp/>
        <stp>C 26NC610000-ICE</stp>
        <stp>Strike</stp>
        <tr r="DU1" s="5"/>
      </tp>
      <tp>
        <v>6000</v>
        <stp/>
        <stp>C 26NC600000-ICE</stp>
        <stp>Strike</stp>
        <tr r="DQ1" s="5"/>
      </tp>
      <tp>
        <v>6700</v>
        <stp/>
        <stp>C 26NC670000-ICE</stp>
        <stp>Strike</stp>
        <tr r="ES1" s="5"/>
      </tp>
      <tp>
        <v>6600</v>
        <stp/>
        <stp>C 26NC660000-ICE</stp>
        <stp>Strike</stp>
        <tr r="EO1" s="5"/>
      </tp>
      <tp>
        <v>6500</v>
        <stp/>
        <stp>C 26NC650000-ICE</stp>
        <stp>Strike</stp>
        <tr r="EK1" s="5"/>
      </tp>
      <tp>
        <v>6400</v>
        <stp/>
        <stp>C 26NC640000-ICE</stp>
        <stp>Strike</stp>
        <tr r="EG1" s="5"/>
      </tp>
      <tp>
        <v>5300</v>
        <stp/>
        <stp>C 26NC530000-ICE</stp>
        <stp>Strike</stp>
        <tr r="CO1" s="5"/>
      </tp>
      <tp>
        <v>5200</v>
        <stp/>
        <stp>C 26NC520000-ICE</stp>
        <stp>Strike</stp>
        <tr r="CK1" s="5"/>
      </tp>
      <tp>
        <v>5100</v>
        <stp/>
        <stp>C 26NC510000-ICE</stp>
        <stp>Strike</stp>
        <tr r="CG1" s="5"/>
      </tp>
      <tp>
        <v>5000</v>
        <stp/>
        <stp>C 26NC500000-ICE</stp>
        <stp>Strike</stp>
        <tr r="CC1" s="5"/>
      </tp>
      <tp>
        <v>5700</v>
        <stp/>
        <stp>C 26NC570000-ICE</stp>
        <stp>Strike</stp>
        <tr r="DE1" s="5"/>
      </tp>
      <tp>
        <v>5600</v>
        <stp/>
        <stp>C 26NC560000-ICE</stp>
        <stp>Strike</stp>
        <tr r="DA1" s="5"/>
      </tp>
      <tp>
        <v>5500</v>
        <stp/>
        <stp>C 26NC550000-ICE</stp>
        <stp>Strike</stp>
        <tr r="CW1" s="5"/>
      </tp>
      <tp>
        <v>5400</v>
        <stp/>
        <stp>C 26NC540000-ICE</stp>
        <stp>Strike</stp>
        <tr r="CS1" s="5"/>
      </tp>
      <tp>
        <v>5900</v>
        <stp/>
        <stp>C 26NC590000-ICE</stp>
        <stp>Strike</stp>
        <tr r="DM1" s="5"/>
      </tp>
      <tp>
        <v>5800</v>
        <stp/>
        <stp>C 26NC580000-ICE</stp>
        <stp>Strike</stp>
        <tr r="DI1" s="5"/>
      </tp>
      <tp>
        <v>4300</v>
        <stp/>
        <stp>C 26NC430000-ICE</stp>
        <stp>Strike</stp>
        <tr r="BA1" s="5"/>
      </tp>
      <tp>
        <v>4200</v>
        <stp/>
        <stp>C 26NC420000-ICE</stp>
        <stp>Strike</stp>
        <tr r="AW1" s="5"/>
      </tp>
      <tp>
        <v>4100</v>
        <stp/>
        <stp>C 26NC410000-ICE</stp>
        <stp>Strike</stp>
        <tr r="AS1" s="5"/>
      </tp>
      <tp>
        <v>4000</v>
        <stp/>
        <stp>C 26NC400000-ICE</stp>
        <stp>Strike</stp>
        <tr r="AO1" s="5"/>
      </tp>
      <tp>
        <v>4700</v>
        <stp/>
        <stp>C 26NC470000-ICE</stp>
        <stp>Strike</stp>
        <tr r="BQ1" s="5"/>
      </tp>
      <tp>
        <v>4600</v>
        <stp/>
        <stp>C 26NC460000-ICE</stp>
        <stp>Strike</stp>
        <tr r="BM1" s="5"/>
      </tp>
      <tp>
        <v>4500</v>
        <stp/>
        <stp>C 26NC450000-ICE</stp>
        <stp>Strike</stp>
        <tr r="BI1" s="5"/>
      </tp>
      <tp>
        <v>4400</v>
        <stp/>
        <stp>C 26NC440000-ICE</stp>
        <stp>Strike</stp>
        <tr r="BE1" s="5"/>
      </tp>
      <tp>
        <v>4900</v>
        <stp/>
        <stp>C 26NC490000-ICE</stp>
        <stp>Strike</stp>
        <tr r="BY1" s="5"/>
      </tp>
      <tp>
        <v>4800</v>
        <stp/>
        <stp>C 26NC480000-ICE</stp>
        <stp>Strike</stp>
        <tr r="BU1" s="5"/>
      </tp>
      <tp>
        <v>9000</v>
        <stp/>
        <stp>C 26NC900000-ICE</stp>
        <stp>Strike</stp>
        <tr r="EZ1" s="5"/>
        <tr r="L155" s="3"/>
      </tp>
      <tp>
        <v>8000</v>
        <stp/>
        <stp>C 26NC800000-ICE</stp>
        <stp>Strike</stp>
        <tr r="L153" s="3"/>
        <tr r="EX1" s="5"/>
      </tp>
      <tp>
        <v>8500</v>
        <stp/>
        <stp>C 26NC850000-ICE</stp>
        <stp>Strike</stp>
        <tr r="EY1" s="5"/>
        <tr r="L154" s="3"/>
      </tp>
    </main>
    <main first="esrtd">
      <tp>
        <v>12000</v>
        <stp/>
        <stp>C 26NC1200000-ICE</stp>
        <stp>Strike</stp>
        <tr r="L158" s="3"/>
        <tr r="FC1" s="5"/>
      </tp>
      <tp>
        <v>11000</v>
        <stp/>
        <stp>C 26NC1100000-ICE</stp>
        <stp>Strike</stp>
        <tr r="L157" s="3"/>
        <tr r="FB1" s="5"/>
      </tp>
      <tp>
        <v>10000</v>
        <stp/>
        <stp>C 26NC1000000-ICE</stp>
        <stp>Strike</stp>
        <tr r="L156" s="3"/>
        <tr r="FA1" s="5"/>
      </tp>
    </main>
    <main first="ixl">
      <tp>
        <v>4314</v>
        <stp/>
        <stp>*H</stp>
        <stp>C 26U-ICE</stp>
        <stp>Last</stp>
        <stp>D</stp>
        <stp>30/10/2025 00:00:00</stp>
        <stp/>
        <stp/>
        <stp>-1</stp>
        <tr r="E11" s="1"/>
      </tp>
      <tp>
        <v>4144</v>
        <stp/>
        <stp>*H</stp>
        <stp>C 26U-ICE</stp>
        <stp>Last</stp>
        <stp>D</stp>
        <stp>20/10/2025 00:00:00</stp>
        <stp/>
        <stp/>
        <stp>-1</stp>
        <tr r="E19" s="1"/>
      </tp>
      <tp>
        <v>4157</v>
        <stp/>
        <stp>*H</stp>
        <stp>C 26U-ICE</stp>
        <stp>Last</stp>
        <stp>D</stp>
        <stp>10/10/2025 00:00:00</stp>
        <stp/>
        <stp/>
        <stp>-1</stp>
        <tr r="E25" s="1"/>
      </tp>
      <tp>
        <v>4352</v>
        <stp/>
        <stp>*H</stp>
        <stp>C 26U-ICE</stp>
        <stp>Last</stp>
        <stp>D</stp>
        <stp>10/11/2025 00:00:00</stp>
        <stp/>
        <stp/>
        <stp>-1</stp>
        <tr r="E4" s="1"/>
      </tp>
      <tp>
        <v>5025</v>
        <stp/>
        <stp>*H</stp>
        <stp>C 26U-ICE</stp>
        <stp>Last</stp>
        <stp>D</stp>
        <stp>30/07/2025 00:00:00</stp>
        <stp/>
        <stp/>
        <stp>-1</stp>
        <tr r="E75" s="1"/>
      </tp>
      <tp>
        <v>5173</v>
        <stp/>
        <stp>*H</stp>
        <stp>C 26U-ICE</stp>
        <stp>Last</stp>
        <stp>D</stp>
        <stp>20/08/2025 00:00:00</stp>
        <stp/>
        <stp/>
        <stp>-1</stp>
        <tr r="E60" s="1"/>
      </tp>
      <tp>
        <v>4731</v>
        <stp/>
        <stp>*H</stp>
        <stp>C 26U-ICE</stp>
        <stp>Last</stp>
        <stp>D</stp>
        <stp>30/09/2025 00:00:00</stp>
        <stp/>
        <stp/>
        <stp>-1</stp>
        <tr r="E33" s="1"/>
      </tp>
      <tp>
        <v>4995</v>
        <stp/>
        <stp>*H</stp>
        <stp>C 26U-ICE</stp>
        <stp>Last</stp>
        <stp>D</stp>
        <stp>10/09/2025 00:00:00</stp>
        <stp/>
        <stp/>
        <stp>-1</stp>
        <tr r="E47" s="1"/>
      </tp>
      <tp>
        <v>5100</v>
        <stp/>
        <stp>*H</stp>
        <stp>C 26N-ICE</stp>
        <stp>Last</stp>
        <stp>D</stp>
        <stp>30/07/2025 00:00:00</stp>
        <stp/>
        <stp/>
        <stp>-1</stp>
        <tr r="E75" s="2"/>
      </tp>
      <tp>
        <v>5232</v>
        <stp/>
        <stp>*H</stp>
        <stp>C 26N-ICE</stp>
        <stp>Last</stp>
        <stp>D</stp>
        <stp>20/08/2025 00:00:00</stp>
        <stp/>
        <stp/>
        <stp>-1</stp>
        <tr r="E60" s="2"/>
      </tp>
      <tp>
        <v>4739</v>
        <stp/>
        <stp>*H</stp>
        <stp>C 26N-ICE</stp>
        <stp>Last</stp>
        <stp>D</stp>
        <stp>30/09/2025 00:00:00</stp>
        <stp/>
        <stp/>
        <stp>-1</stp>
        <tr r="E33" s="2"/>
      </tp>
      <tp>
        <v>5049</v>
        <stp/>
        <stp>*H</stp>
        <stp>C 26N-ICE</stp>
        <stp>Last</stp>
        <stp>D</stp>
        <stp>10/09/2025 00:00:00</stp>
        <stp/>
        <stp/>
        <stp>-1</stp>
        <tr r="E47" s="2"/>
      </tp>
      <tp>
        <v>4349</v>
        <stp/>
        <stp>*H</stp>
        <stp>C 26N-ICE</stp>
        <stp>Last</stp>
        <stp>D</stp>
        <stp>30/10/2025 00:00:00</stp>
        <stp/>
        <stp/>
        <stp>-1</stp>
        <tr r="E11" s="2"/>
      </tp>
      <tp>
        <v>4147</v>
        <stp/>
        <stp>*H</stp>
        <stp>C 26N-ICE</stp>
        <stp>Last</stp>
        <stp>D</stp>
        <stp>20/10/2025 00:00:00</stp>
        <stp/>
        <stp/>
        <stp>-1</stp>
        <tr r="E19" s="2"/>
      </tp>
      <tp>
        <v>4152</v>
        <stp/>
        <stp>*H</stp>
        <stp>C 26N-ICE</stp>
        <stp>Last</stp>
        <stp>D</stp>
        <stp>10/10/2025 00:00:00</stp>
        <stp/>
        <stp/>
        <stp>-1</stp>
        <tr r="E25" s="2"/>
      </tp>
      <tp>
        <v>4396</v>
        <stp/>
        <stp>*H</stp>
        <stp>C 26N-ICE</stp>
        <stp>Last</stp>
        <stp>D</stp>
        <stp>10/11/2025 00:00:00</stp>
        <stp/>
        <stp/>
        <stp>-1</stp>
        <tr r="E4" s="2"/>
      </tp>
    </main>
    <main first="ixl">
      <tp>
        <v>16</v>
        <stp/>
        <stp>*H</stp>
        <stp>C 26UP300000-ICE</stp>
        <stp>Last</stp>
        <stp>D</stp>
        <stp>04/11/2025 00:00:00</stp>
        <stp/>
        <stp/>
        <stp>-1</stp>
        <tr r="B8" s="1"/>
      </tp>
      <tp>
        <v>53</v>
        <stp/>
        <stp>*H</stp>
        <stp>C 26UP300000-ICE</stp>
        <stp>Last</stp>
        <stp>D</stp>
        <stp>14/10/2025 00:00:00</stp>
        <stp/>
        <stp/>
        <stp>-1</stp>
        <tr r="B23" s="1"/>
      </tp>
      <tp>
        <v>24</v>
        <stp/>
        <stp>*H</stp>
        <stp>C 26UP300000-ICE</stp>
        <stp>Last</stp>
        <stp>D</stp>
        <stp>24/10/2025 00:00:00</stp>
        <stp/>
        <stp/>
        <stp>-1</stp>
        <tr r="B15" s="1"/>
      </tp>
      <tp>
        <v>28</v>
        <stp/>
        <stp>*H</stp>
        <stp>C 26NP300000-ICE</stp>
        <stp>Last</stp>
        <stp>D</stp>
        <stp>24/10/2025 00:00:00</stp>
        <stp/>
        <stp/>
        <stp>-1</stp>
        <tr r="B15" s="2"/>
      </tp>
      <tp>
        <v>22</v>
        <stp/>
        <stp>*H</stp>
        <stp>C 26NP300000-ICE</stp>
        <stp>Last</stp>
        <stp>D</stp>
        <stp>04/11/2025 00:00:00</stp>
        <stp/>
        <stp/>
        <stp>-1</stp>
        <tr r="B8" s="2"/>
      </tp>
      <tp>
        <v>52</v>
        <stp/>
        <stp>*H</stp>
        <stp>C 26NP300000-ICE</stp>
        <stp>Last</stp>
        <stp>D</stp>
        <stp>14/10/2025 00:00:00</stp>
        <stp/>
        <stp/>
        <stp>-1</stp>
        <tr r="B23" s="2"/>
      </tp>
      <tp>
        <v>29</v>
        <stp/>
        <stp>*H</stp>
        <stp>C 26UP300000-ICE</stp>
        <stp>Last</stp>
        <stp>D</stp>
        <stp>04/08/2025 00:00:00</stp>
        <stp/>
        <stp/>
        <stp>-1</stp>
        <tr r="B72" s="1"/>
      </tp>
      <tp>
        <v>34</v>
        <stp/>
        <stp>*H</stp>
        <stp>C 26UP300000-ICE</stp>
        <stp>Last</stp>
        <stp>D</stp>
        <stp>04/09/2025 00:00:00</stp>
        <stp/>
        <stp/>
        <stp>-1</stp>
        <tr r="B51" s="1"/>
      </tp>
      <tp>
        <v>17</v>
        <stp/>
        <stp>*H</stp>
        <stp>C 26UP300000-ICE</stp>
        <stp>Last</stp>
        <stp>D</stp>
        <stp>14/08/2025 00:00:00</stp>
        <stp/>
        <stp/>
        <stp>-1</stp>
        <tr r="B64" s="1"/>
      </tp>
      <tp>
        <v>19</v>
        <stp/>
        <stp>*H</stp>
        <stp>C 26UP300000-ICE</stp>
        <stp>Last</stp>
        <stp>D</stp>
        <stp>24/09/2025 00:00:00</stp>
        <stp/>
        <stp/>
        <stp>-1</stp>
        <tr r="B37" s="1"/>
      </tp>
      <tp>
        <v>23</v>
        <stp/>
        <stp>*H</stp>
        <stp>C 26UP300000-ICE</stp>
        <stp>Last</stp>
        <stp>D</stp>
        <stp>24/07/2025 00:00:00</stp>
        <stp/>
        <stp/>
        <stp>-1</stp>
        <tr r="B79" s="1"/>
      </tp>
      <tp>
        <v>0</v>
        <stp/>
        <stp>*H</stp>
        <stp>C 26UP300000-ICE</stp>
        <stp>Last</stp>
        <stp>D</stp>
        <stp>14/07/2025 00:00:00</stp>
        <stp/>
        <stp/>
        <stp>-1</stp>
        <tr r="B87" s="1"/>
      </tp>
      <tp>
        <v>19</v>
        <stp/>
        <stp>*H</stp>
        <stp>C 26NP300000-ICE</stp>
        <stp>Last</stp>
        <stp>D</stp>
        <stp>14/07/2025 00:00:00</stp>
        <stp/>
        <stp/>
        <stp>-1</stp>
        <tr r="B87" s="2"/>
      </tp>
      <tp>
        <v>29</v>
        <stp/>
        <stp>*H</stp>
        <stp>C 26NP300000-ICE</stp>
        <stp>Last</stp>
        <stp>D</stp>
        <stp>24/07/2025 00:00:00</stp>
        <stp/>
        <stp/>
        <stp>-1</stp>
        <tr r="B79" s="2"/>
      </tp>
      <tp>
        <v>18</v>
        <stp/>
        <stp>*H</stp>
        <stp>C 26NP300000-ICE</stp>
        <stp>Last</stp>
        <stp>D</stp>
        <stp>24/09/2025 00:00:00</stp>
        <stp/>
        <stp/>
        <stp>-1</stp>
        <tr r="B37" s="2"/>
      </tp>
      <tp>
        <v>38</v>
        <stp/>
        <stp>*H</stp>
        <stp>C 26NP300000-ICE</stp>
        <stp>Last</stp>
        <stp>D</stp>
        <stp>04/09/2025 00:00:00</stp>
        <stp/>
        <stp/>
        <stp>-1</stp>
        <tr r="B51" s="2"/>
      </tp>
      <tp>
        <v>26</v>
        <stp/>
        <stp>*H</stp>
        <stp>C 26NP300000-ICE</stp>
        <stp>Last</stp>
        <stp>D</stp>
        <stp>14/08/2025 00:00:00</stp>
        <stp/>
        <stp/>
        <stp>-1</stp>
        <tr r="B64" s="2"/>
      </tp>
      <tp>
        <v>37</v>
        <stp/>
        <stp>*H</stp>
        <stp>C 26NP300000-ICE</stp>
        <stp>Last</stp>
        <stp>D</stp>
        <stp>04/08/2025 00:00:00</stp>
        <stp/>
        <stp/>
        <stp>-1</stp>
        <tr r="B72" s="2"/>
      </tp>
    </main>
    <main first="ixl">
      <tp>
        <v>4422</v>
        <stp/>
        <stp>*H</stp>
        <stp>C 26U-ICE</stp>
        <stp>Last</stp>
        <stp>D</stp>
        <stp>31/10/2025 00:00:00</stp>
        <stp/>
        <stp/>
        <stp>-1</stp>
        <tr r="E10" s="1"/>
      </tp>
      <tp>
        <v>4177</v>
        <stp/>
        <stp>*H</stp>
        <stp>C 26U-ICE</stp>
        <stp>Last</stp>
        <stp>D</stp>
        <stp>21/10/2025 00:00:00</stp>
        <stp/>
        <stp/>
        <stp>-1</stp>
        <tr r="E18" s="1"/>
      </tp>
      <tp>
        <v>4689</v>
        <stp/>
        <stp>*H</stp>
        <stp>C 26U-ICE</stp>
        <stp>Last</stp>
        <stp>D</stp>
        <stp>01/10/2025 00:00:00</stp>
        <stp/>
        <stp/>
        <stp>-1</stp>
        <tr r="E32" s="1"/>
      </tp>
      <tp>
        <v>4168</v>
        <stp/>
        <stp>*H</stp>
        <stp>C 26U-ICE</stp>
        <stp>Last</stp>
        <stp>D</stp>
        <stp>11/11/2025 00:00:00</stp>
        <stp/>
        <stp/>
        <stp>-1</stp>
        <tr r="E3" s="1"/>
      </tp>
      <tp>
        <v>4838</v>
        <stp/>
        <stp>*H</stp>
        <stp>C 26U-ICE</stp>
        <stp>Last</stp>
        <stp>D</stp>
        <stp>21/07/2025 00:00:00</stp>
        <stp/>
        <stp/>
        <stp>-1</stp>
        <tr r="E82" s="1"/>
      </tp>
      <tp>
        <v>5173</v>
        <stp/>
        <stp>*H</stp>
        <stp>C 26U-ICE</stp>
        <stp>Last</stp>
        <stp>D</stp>
        <stp>31/07/2025 00:00:00</stp>
        <stp/>
        <stp/>
        <stp>-1</stp>
        <tr r="E74" s="1"/>
      </tp>
      <tp>
        <v>5111</v>
        <stp/>
        <stp>*H</stp>
        <stp>C 26U-ICE</stp>
        <stp>Last</stp>
        <stp>D</stp>
        <stp>21/08/2025 00:00:00</stp>
        <stp/>
        <stp/>
        <stp>-1</stp>
        <tr r="E59" s="1"/>
      </tp>
      <tp>
        <v>5032</v>
        <stp/>
        <stp>*H</stp>
        <stp>C 26U-ICE</stp>
        <stp>Last</stp>
        <stp>D</stp>
        <stp>01/09/2025 00:00:00</stp>
        <stp/>
        <stp/>
        <stp>-1</stp>
        <tr r="E54" s="1"/>
      </tp>
      <tp>
        <v>5428</v>
        <stp/>
        <stp>*H</stp>
        <stp>C 26U-ICE</stp>
        <stp>Last</stp>
        <stp>D</stp>
        <stp>11/08/2025 00:00:00</stp>
        <stp/>
        <stp/>
        <stp>-1</stp>
        <tr r="E67" s="1"/>
      </tp>
      <tp>
        <v>5080</v>
        <stp/>
        <stp>*H</stp>
        <stp>C 26U-ICE</stp>
        <stp>Last</stp>
        <stp>D</stp>
        <stp>01/08/2025 00:00:00</stp>
        <stp/>
        <stp/>
        <stp>-1</stp>
        <tr r="E73" s="1"/>
      </tp>
      <tp>
        <v>5026</v>
        <stp/>
        <stp>*H</stp>
        <stp>C 26U-ICE</stp>
        <stp>Last</stp>
        <stp>D</stp>
        <stp>11/09/2025 00:00:00</stp>
        <stp/>
        <stp/>
        <stp>-1</stp>
        <tr r="E46" s="1"/>
      </tp>
      <tp>
        <v>4895</v>
        <stp/>
        <stp>*H</stp>
        <stp>C 26N-ICE</stp>
        <stp>Last</stp>
        <stp>D</stp>
        <stp>21/07/2025 00:00:00</stp>
        <stp/>
        <stp/>
        <stp>-1</stp>
        <tr r="E82" s="2"/>
      </tp>
      <tp>
        <v>5246</v>
        <stp/>
        <stp>*H</stp>
        <stp>C 26N-ICE</stp>
        <stp>Last</stp>
        <stp>D</stp>
        <stp>31/07/2025 00:00:00</stp>
        <stp/>
        <stp/>
        <stp>-1</stp>
        <tr r="E74" s="2"/>
      </tp>
      <tp>
        <v>5167</v>
        <stp/>
        <stp>*H</stp>
        <stp>C 26N-ICE</stp>
        <stp>Last</stp>
        <stp>D</stp>
        <stp>21/08/2025 00:00:00</stp>
        <stp/>
        <stp/>
        <stp>-1</stp>
        <tr r="E59" s="2"/>
      </tp>
      <tp>
        <v>5094</v>
        <stp/>
        <stp>*H</stp>
        <stp>C 26N-ICE</stp>
        <stp>Last</stp>
        <stp>D</stp>
        <stp>01/09/2025 00:00:00</stp>
        <stp/>
        <stp/>
        <stp>-1</stp>
        <tr r="E54" s="2"/>
      </tp>
      <tp>
        <v>5491</v>
        <stp/>
        <stp>*H</stp>
        <stp>C 26N-ICE</stp>
        <stp>Last</stp>
        <stp>D</stp>
        <stp>11/08/2025 00:00:00</stp>
        <stp/>
        <stp/>
        <stp>-1</stp>
        <tr r="E67" s="2"/>
      </tp>
      <tp>
        <v>5146</v>
        <stp/>
        <stp>*H</stp>
        <stp>C 26N-ICE</stp>
        <stp>Last</stp>
        <stp>D</stp>
        <stp>01/08/2025 00:00:00</stp>
        <stp/>
        <stp/>
        <stp>-1</stp>
        <tr r="E73" s="2"/>
      </tp>
      <tp>
        <v>5080</v>
        <stp/>
        <stp>*H</stp>
        <stp>C 26N-ICE</stp>
        <stp>Last</stp>
        <stp>D</stp>
        <stp>11/09/2025 00:00:00</stp>
        <stp/>
        <stp/>
        <stp>-1</stp>
        <tr r="E46" s="2"/>
      </tp>
      <tp>
        <v>4462</v>
        <stp/>
        <stp>*H</stp>
        <stp>C 26N-ICE</stp>
        <stp>Last</stp>
        <stp>D</stp>
        <stp>31/10/2025 00:00:00</stp>
        <stp/>
        <stp/>
        <stp>-1</stp>
        <tr r="E10" s="2"/>
      </tp>
      <tp>
        <v>4189</v>
        <stp/>
        <stp>*H</stp>
        <stp>C 26N-ICE</stp>
        <stp>Last</stp>
        <stp>D</stp>
        <stp>21/10/2025 00:00:00</stp>
        <stp/>
        <stp/>
        <stp>-1</stp>
        <tr r="E18" s="2"/>
      </tp>
      <tp>
        <v>4701</v>
        <stp/>
        <stp>*H</stp>
        <stp>C 26N-ICE</stp>
        <stp>Last</stp>
        <stp>D</stp>
        <stp>01/10/2025 00:00:00</stp>
        <stp/>
        <stp/>
        <stp>-1</stp>
        <tr r="E32" s="2"/>
      </tp>
      <tp>
        <v>4193</v>
        <stp/>
        <stp>*H</stp>
        <stp>C 26N-ICE</stp>
        <stp>Last</stp>
        <stp>D</stp>
        <stp>11/11/2025 00:00:00</stp>
        <stp/>
        <stp/>
        <stp>-1</stp>
        <tr r="E3" s="2"/>
      </tp>
    </main>
    <main first="ixl">
      <tp>
        <v>19</v>
        <stp/>
        <stp>*H</stp>
        <stp>C 26UP300000-ICE</stp>
        <stp>Last</stp>
        <stp>D</stp>
        <stp>05/11/2025 00:00:00</stp>
        <stp/>
        <stp/>
        <stp>-1</stp>
        <tr r="B7" s="1"/>
      </tp>
      <tp>
        <v>66</v>
        <stp/>
        <stp>*H</stp>
        <stp>C 26UP300000-ICE</stp>
        <stp>Last</stp>
        <stp>D</stp>
        <stp>15/10/2025 00:00:00</stp>
        <stp/>
        <stp/>
        <stp>-1</stp>
        <tr r="B22" s="1"/>
      </tp>
      <tp>
        <v>25</v>
        <stp/>
        <stp>*H</stp>
        <stp>C 26NP300000-ICE</stp>
        <stp>Last</stp>
        <stp>D</stp>
        <stp>05/11/2025 00:00:00</stp>
        <stp/>
        <stp/>
        <stp>-1</stp>
        <tr r="B7" s="2"/>
      </tp>
      <tp>
        <v>66</v>
        <stp/>
        <stp>*H</stp>
        <stp>C 26NP300000-ICE</stp>
        <stp>Last</stp>
        <stp>D</stp>
        <stp>15/10/2025 00:00:00</stp>
        <stp/>
        <stp/>
        <stp>-1</stp>
        <tr r="B22" s="2"/>
      </tp>
      <tp>
        <v>25</v>
        <stp/>
        <stp>*H</stp>
        <stp>C 26UP300000-ICE</stp>
        <stp>Last</stp>
        <stp>D</stp>
        <stp>05/08/2025 00:00:00</stp>
        <stp/>
        <stp/>
        <stp>-1</stp>
        <tr r="B71" s="1"/>
      </tp>
      <tp>
        <v>25</v>
        <stp/>
        <stp>*H</stp>
        <stp>C 26UP300000-ICE</stp>
        <stp>Last</stp>
        <stp>D</stp>
        <stp>15/09/2025 00:00:00</stp>
        <stp/>
        <stp/>
        <stp>-1</stp>
        <tr r="B44" s="1"/>
      </tp>
      <tp>
        <v>34</v>
        <stp/>
        <stp>*H</stp>
        <stp>C 26UP300000-ICE</stp>
        <stp>Last</stp>
        <stp>D</stp>
        <stp>05/09/2025 00:00:00</stp>
        <stp/>
        <stp/>
        <stp>-1</stp>
        <tr r="B50" s="1"/>
      </tp>
      <tp>
        <v>20</v>
        <stp/>
        <stp>*H</stp>
        <stp>C 26UP300000-ICE</stp>
        <stp>Last</stp>
        <stp>D</stp>
        <stp>15/08/2025 00:00:00</stp>
        <stp/>
        <stp/>
        <stp>-1</stp>
        <tr r="B63" s="1"/>
      </tp>
      <tp>
        <v>20</v>
        <stp/>
        <stp>*H</stp>
        <stp>C 26UP300000-ICE</stp>
        <stp>Last</stp>
        <stp>D</stp>
        <stp>25/09/2025 00:00:00</stp>
        <stp/>
        <stp/>
        <stp>-1</stp>
        <tr r="B36" s="1"/>
      </tp>
      <tp>
        <v>21</v>
        <stp/>
        <stp>*H</stp>
        <stp>C 26UP300000-ICE</stp>
        <stp>Last</stp>
        <stp>D</stp>
        <stp>25/07/2025 00:00:00</stp>
        <stp/>
        <stp/>
        <stp>-1</stp>
        <tr r="B78" s="1"/>
      </tp>
      <tp>
        <v>0</v>
        <stp/>
        <stp>*H</stp>
        <stp>C 26UP300000-ICE</stp>
        <stp>Last</stp>
        <stp>D</stp>
        <stp>15/07/2025 00:00:00</stp>
        <stp/>
        <stp/>
        <stp>-1</stp>
        <tr r="B86" s="1"/>
      </tp>
      <tp>
        <v>21</v>
        <stp/>
        <stp>*H</stp>
        <stp>C 26NP300000-ICE</stp>
        <stp>Last</stp>
        <stp>D</stp>
        <stp>15/07/2025 00:00:00</stp>
        <stp/>
        <stp/>
        <stp>-1</stp>
        <tr r="B86" s="2"/>
      </tp>
      <tp>
        <v>27</v>
        <stp/>
        <stp>*H</stp>
        <stp>C 26NP300000-ICE</stp>
        <stp>Last</stp>
        <stp>D</stp>
        <stp>25/07/2025 00:00:00</stp>
        <stp/>
        <stp/>
        <stp>-1</stp>
        <tr r="B78" s="2"/>
      </tp>
      <tp>
        <v>20</v>
        <stp/>
        <stp>*H</stp>
        <stp>C 26NP300000-ICE</stp>
        <stp>Last</stp>
        <stp>D</stp>
        <stp>25/09/2025 00:00:00</stp>
        <stp/>
        <stp/>
        <stp>-1</stp>
        <tr r="B36" s="2"/>
      </tp>
      <tp>
        <v>38</v>
        <stp/>
        <stp>*H</stp>
        <stp>C 26NP300000-ICE</stp>
        <stp>Last</stp>
        <stp>D</stp>
        <stp>05/09/2025 00:00:00</stp>
        <stp/>
        <stp/>
        <stp>-1</stp>
        <tr r="B50" s="2"/>
      </tp>
      <tp>
        <v>25</v>
        <stp/>
        <stp>*H</stp>
        <stp>C 26NP300000-ICE</stp>
        <stp>Last</stp>
        <stp>D</stp>
        <stp>15/08/2025 00:00:00</stp>
        <stp/>
        <stp/>
        <stp>-1</stp>
        <tr r="B63" s="2"/>
      </tp>
      <tp>
        <v>31</v>
        <stp/>
        <stp>*H</stp>
        <stp>C 26NP300000-ICE</stp>
        <stp>Last</stp>
        <stp>D</stp>
        <stp>05/08/2025 00:00:00</stp>
        <stp/>
        <stp/>
        <stp>-1</stp>
        <tr r="B71" s="2"/>
      </tp>
      <tp>
        <v>23</v>
        <stp/>
        <stp>*H</stp>
        <stp>C 26NP300000-ICE</stp>
        <stp>Last</stp>
        <stp>D</stp>
        <stp>15/09/2025 00:00:00</stp>
        <stp/>
        <stp/>
        <stp>-1</stp>
        <tr r="B44" s="2"/>
      </tp>
    </main>
    <main first="ixl">
      <tp>
        <v>4473</v>
        <stp/>
        <stp>*H</stp>
        <stp>C 26U-ICE</stp>
        <stp>Last</stp>
        <stp>D</stp>
        <stp>22/10/2025 00:00:00</stp>
        <stp/>
        <stp/>
        <stp>-1</stp>
        <tr r="E17" s="1"/>
      </tp>
      <tp>
        <v>4547</v>
        <stp/>
        <stp>*H</stp>
        <stp>C 26U-ICE</stp>
        <stp>Last</stp>
        <stp>D</stp>
        <stp>02/10/2025 00:00:00</stp>
        <stp/>
        <stp/>
        <stp>-1</stp>
        <tr r="E31" s="1"/>
      </tp>
      <tp>
        <v>4181</v>
        <stp/>
        <stp>*H</stp>
        <stp>C 26U-ICE</stp>
        <stp>Last</stp>
        <stp>D</stp>
        <stp>12/11/2025 00:00:00</stp>
        <stp/>
        <stp/>
        <stp>-1</stp>
        <tr r="E2" s="1"/>
      </tp>
      <tp>
        <v>4978</v>
        <stp/>
        <stp>*H</stp>
        <stp>C 26U-ICE</stp>
        <stp>Last</stp>
        <stp>D</stp>
        <stp>22/07/2025 00:00:00</stp>
        <stp/>
        <stp/>
        <stp>-1</stp>
        <tr r="E81" s="1"/>
      </tp>
      <tp>
        <v>4840</v>
        <stp/>
        <stp>*H</stp>
        <stp>C 26U-ICE</stp>
        <stp>Last</stp>
        <stp>D</stp>
        <stp>22/09/2025 00:00:00</stp>
        <stp/>
        <stp/>
        <stp>-1</stp>
        <tr r="E39" s="1"/>
      </tp>
      <tp>
        <v>5073</v>
        <stp/>
        <stp>*H</stp>
        <stp>C 26U-ICE</stp>
        <stp>Last</stp>
        <stp>D</stp>
        <stp>22/08/2025 00:00:00</stp>
        <stp/>
        <stp/>
        <stp>-1</stp>
        <tr r="E58" s="1"/>
      </tp>
      <tp>
        <v>5048</v>
        <stp/>
        <stp>*H</stp>
        <stp>C 26U-ICE</stp>
        <stp>Last</stp>
        <stp>D</stp>
        <stp>02/09/2025 00:00:00</stp>
        <stp/>
        <stp/>
        <stp>-1</stp>
        <tr r="E53" s="1"/>
      </tp>
      <tp>
        <v>5515</v>
        <stp/>
        <stp>*H</stp>
        <stp>C 26U-ICE</stp>
        <stp>Last</stp>
        <stp>D</stp>
        <stp>12/08/2025 00:00:00</stp>
        <stp/>
        <stp/>
        <stp>-1</stp>
        <tr r="E66" s="1"/>
      </tp>
      <tp>
        <v>4935</v>
        <stp/>
        <stp>*H</stp>
        <stp>C 26U-ICE</stp>
        <stp>Last</stp>
        <stp>D</stp>
        <stp>12/09/2025 00:00:00</stp>
        <stp/>
        <stp/>
        <stp>-1</stp>
        <tr r="E45" s="1"/>
      </tp>
      <tp>
        <v>5047</v>
        <stp/>
        <stp>*H</stp>
        <stp>C 26N-ICE</stp>
        <stp>Last</stp>
        <stp>D</stp>
        <stp>22/07/2025 00:00:00</stp>
        <stp/>
        <stp/>
        <stp>-1</stp>
        <tr r="E81" s="2"/>
      </tp>
      <tp>
        <v>4885</v>
        <stp/>
        <stp>*H</stp>
        <stp>C 26N-ICE</stp>
        <stp>Last</stp>
        <stp>D</stp>
        <stp>22/09/2025 00:00:00</stp>
        <stp/>
        <stp/>
        <stp>-1</stp>
        <tr r="E39" s="2"/>
      </tp>
      <tp>
        <v>5131</v>
        <stp/>
        <stp>*H</stp>
        <stp>C 26N-ICE</stp>
        <stp>Last</stp>
        <stp>D</stp>
        <stp>22/08/2025 00:00:00</stp>
        <stp/>
        <stp/>
        <stp>-1</stp>
        <tr r="E58" s="2"/>
      </tp>
      <tp>
        <v>5105</v>
        <stp/>
        <stp>*H</stp>
        <stp>C 26N-ICE</stp>
        <stp>Last</stp>
        <stp>D</stp>
        <stp>02/09/2025 00:00:00</stp>
        <stp/>
        <stp/>
        <stp>-1</stp>
        <tr r="E53" s="2"/>
      </tp>
      <tp>
        <v>5583</v>
        <stp/>
        <stp>*H</stp>
        <stp>C 26N-ICE</stp>
        <stp>Last</stp>
        <stp>D</stp>
        <stp>12/08/2025 00:00:00</stp>
        <stp/>
        <stp/>
        <stp>-1</stp>
        <tr r="E66" s="2"/>
      </tp>
      <tp>
        <v>4998</v>
        <stp/>
        <stp>*H</stp>
        <stp>C 26N-ICE</stp>
        <stp>Last</stp>
        <stp>D</stp>
        <stp>12/09/2025 00:00:00</stp>
        <stp/>
        <stp/>
        <stp>-1</stp>
        <tr r="E45" s="2"/>
      </tp>
      <tp>
        <v>4513</v>
        <stp/>
        <stp>*H</stp>
        <stp>C 26N-ICE</stp>
        <stp>Last</stp>
        <stp>D</stp>
        <stp>22/10/2025 00:00:00</stp>
        <stp/>
        <stp/>
        <stp>-1</stp>
        <tr r="E17" s="2"/>
      </tp>
      <tp>
        <v>4551</v>
        <stp/>
        <stp>*H</stp>
        <stp>C 26N-ICE</stp>
        <stp>Last</stp>
        <stp>D</stp>
        <stp>02/10/2025 00:00:00</stp>
        <stp/>
        <stp/>
        <stp>-1</stp>
        <tr r="E31" s="2"/>
      </tp>
      <tp>
        <v>4196</v>
        <stp/>
        <stp>*H</stp>
        <stp>C 26N-ICE</stp>
        <stp>Last</stp>
        <stp>D</stp>
        <stp>12/11/2025 00:00:00</stp>
        <stp/>
        <stp/>
        <stp>-1</stp>
        <tr r="E2" s="2"/>
      </tp>
    </main>
    <main first="ixl">
      <tp>
        <v>41</v>
        <stp/>
        <stp>*H</stp>
        <stp>C 26UP300000-ICE</stp>
        <stp>Last</stp>
        <stp>D</stp>
        <stp>06/10/2025 00:00:00</stp>
        <stp/>
        <stp/>
        <stp>-1</stp>
        <tr r="B29" s="1"/>
      </tp>
      <tp>
        <v>25</v>
        <stp/>
        <stp>*H</stp>
        <stp>C 26UP300000-ICE</stp>
        <stp>Last</stp>
        <stp>D</stp>
        <stp>06/11/2025 00:00:00</stp>
        <stp/>
        <stp/>
        <stp>-1</stp>
        <tr r="B6" s="1"/>
      </tp>
      <tp>
        <v>57</v>
        <stp/>
        <stp>*H</stp>
        <stp>C 26UP300000-ICE</stp>
        <stp>Last</stp>
        <stp>D</stp>
        <stp>16/10/2025 00:00:00</stp>
        <stp/>
        <stp/>
        <stp>-1</stp>
        <tr r="B21" s="1"/>
      </tp>
      <tp>
        <v>30</v>
        <stp/>
        <stp>*H</stp>
        <stp>C 26NP300000-ICE</stp>
        <stp>Last</stp>
        <stp>D</stp>
        <stp>06/11/2025 00:00:00</stp>
        <stp/>
        <stp/>
        <stp>-1</stp>
        <tr r="B6" s="2"/>
      </tp>
      <tp>
        <v>53</v>
        <stp/>
        <stp>*H</stp>
        <stp>C 26NP300000-ICE</stp>
        <stp>Last</stp>
        <stp>D</stp>
        <stp>16/10/2025 00:00:00</stp>
        <stp/>
        <stp/>
        <stp>-1</stp>
        <tr r="B21" s="2"/>
      </tp>
      <tp>
        <v>39</v>
        <stp/>
        <stp>*H</stp>
        <stp>C 26NP300000-ICE</stp>
        <stp>Last</stp>
        <stp>D</stp>
        <stp>06/10/2025 00:00:00</stp>
        <stp/>
        <stp/>
        <stp>-1</stp>
        <tr r="B29" s="2"/>
      </tp>
      <tp>
        <v>25</v>
        <stp/>
        <stp>*H</stp>
        <stp>C 26UP300000-ICE</stp>
        <stp>Last</stp>
        <stp>D</stp>
        <stp>06/08/2025 00:00:00</stp>
        <stp/>
        <stp/>
        <stp>-1</stp>
        <tr r="B70" s="1"/>
      </tp>
      <tp>
        <v>18</v>
        <stp/>
        <stp>*H</stp>
        <stp>C 26UP300000-ICE</stp>
        <stp>Last</stp>
        <stp>D</stp>
        <stp>16/09/2025 00:00:00</stp>
        <stp/>
        <stp/>
        <stp>-1</stp>
        <tr r="B43" s="1"/>
      </tp>
      <tp>
        <v>23</v>
        <stp/>
        <stp>*H</stp>
        <stp>C 26UP300000-ICE</stp>
        <stp>Last</stp>
        <stp>D</stp>
        <stp>26/09/2025 00:00:00</stp>
        <stp/>
        <stp/>
        <stp>-1</stp>
        <tr r="B35" s="1"/>
      </tp>
      <tp>
        <v>0</v>
        <stp/>
        <stp>*H</stp>
        <stp>C 26UP300000-ICE</stp>
        <stp>Last</stp>
        <stp>D</stp>
        <stp>16/07/2025 00:00:00</stp>
        <stp/>
        <stp/>
        <stp>-1</stp>
        <tr r="B85" s="1"/>
      </tp>
      <tp>
        <v>22</v>
        <stp/>
        <stp>*H</stp>
        <stp>C 26NP300000-ICE</stp>
        <stp>Last</stp>
        <stp>D</stp>
        <stp>16/07/2025 00:00:00</stp>
        <stp/>
        <stp/>
        <stp>-1</stp>
        <tr r="B85" s="2"/>
      </tp>
      <tp>
        <v>24</v>
        <stp/>
        <stp>*H</stp>
        <stp>C 26NP300000-ICE</stp>
        <stp>Last</stp>
        <stp>D</stp>
        <stp>26/09/2025 00:00:00</stp>
        <stp/>
        <stp/>
        <stp>-1</stp>
        <tr r="B35" s="2"/>
      </tp>
      <tp>
        <v>32</v>
        <stp/>
        <stp>*H</stp>
        <stp>C 26NP300000-ICE</stp>
        <stp>Last</stp>
        <stp>D</stp>
        <stp>06/08/2025 00:00:00</stp>
        <stp/>
        <stp/>
        <stp>-1</stp>
        <tr r="B70" s="2"/>
      </tp>
      <tp>
        <v>17</v>
        <stp/>
        <stp>*H</stp>
        <stp>C 26NP300000-ICE</stp>
        <stp>Last</stp>
        <stp>D</stp>
        <stp>16/09/2025 00:00:00</stp>
        <stp/>
        <stp/>
        <stp>-1</stp>
        <tr r="B43" s="2"/>
      </tp>
    </main>
    <main first="ixl">
      <tp>
        <v>4502</v>
        <stp/>
        <stp>*H</stp>
        <stp>C 26U-ICE</stp>
        <stp>Last</stp>
        <stp>D</stp>
        <stp>23/10/2025 00:00:00</stp>
        <stp/>
        <stp/>
        <stp>-1</stp>
        <tr r="E16" s="1"/>
      </tp>
      <tp>
        <v>4716</v>
        <stp/>
        <stp>*H</stp>
        <stp>C 26U-ICE</stp>
        <stp>Last</stp>
        <stp>D</stp>
        <stp>03/11/2025 00:00:00</stp>
        <stp/>
        <stp/>
        <stp>-1</stp>
        <tr r="E9" s="1"/>
      </tp>
      <tp>
        <v>4173</v>
        <stp/>
        <stp>*H</stp>
        <stp>C 26U-ICE</stp>
        <stp>Last</stp>
        <stp>D</stp>
        <stp>13/10/2025 00:00:00</stp>
        <stp/>
        <stp/>
        <stp>-1</stp>
        <tr r="E24" s="1"/>
      </tp>
      <tp>
        <v>4365</v>
        <stp/>
        <stp>*H</stp>
        <stp>C 26U-ICE</stp>
        <stp>Last</stp>
        <stp>D</stp>
        <stp>03/10/2025 00:00:00</stp>
        <stp/>
        <stp/>
        <stp>-1</stp>
        <tr r="E30" s="1"/>
      </tp>
      <tp>
        <v>5004</v>
        <stp/>
        <stp>*H</stp>
        <stp>C 26U-ICE</stp>
        <stp>Last</stp>
        <stp>D</stp>
        <stp>23/07/2025 00:00:00</stp>
        <stp/>
        <stp/>
        <stp>-1</stp>
        <tr r="E80" s="1"/>
      </tp>
      <tp>
        <v>4830</v>
        <stp/>
        <stp>*H</stp>
        <stp>C 26U-ICE</stp>
        <stp>Last</stp>
        <stp>D</stp>
        <stp>23/09/2025 00:00:00</stp>
        <stp/>
        <stp/>
        <stp>-1</stp>
        <tr r="E38" s="1"/>
      </tp>
      <tp>
        <v>5032</v>
        <stp/>
        <stp>*H</stp>
        <stp>C 26U-ICE</stp>
        <stp>Last</stp>
        <stp>D</stp>
        <stp>03/09/2025 00:00:00</stp>
        <stp/>
        <stp/>
        <stp>-1</stp>
        <tr r="E52" s="1"/>
      </tp>
      <tp>
        <v>5475</v>
        <stp/>
        <stp>*H</stp>
        <stp>C 26U-ICE</stp>
        <stp>Last</stp>
        <stp>D</stp>
        <stp>13/08/2025 00:00:00</stp>
        <stp/>
        <stp/>
        <stp>-1</stp>
        <tr r="E65" s="1"/>
      </tp>
      <tp>
        <v>5077</v>
        <stp/>
        <stp>*H</stp>
        <stp>C 26N-ICE</stp>
        <stp>Last</stp>
        <stp>D</stp>
        <stp>23/07/2025 00:00:00</stp>
        <stp/>
        <stp/>
        <stp>-1</stp>
        <tr r="E80" s="2"/>
      </tp>
      <tp>
        <v>4868</v>
        <stp/>
        <stp>*H</stp>
        <stp>C 26N-ICE</stp>
        <stp>Last</stp>
        <stp>D</stp>
        <stp>23/09/2025 00:00:00</stp>
        <stp/>
        <stp/>
        <stp>-1</stp>
        <tr r="E38" s="2"/>
      </tp>
      <tp>
        <v>5095</v>
        <stp/>
        <stp>*H</stp>
        <stp>C 26N-ICE</stp>
        <stp>Last</stp>
        <stp>D</stp>
        <stp>03/09/2025 00:00:00</stp>
        <stp/>
        <stp/>
        <stp>-1</stp>
        <tr r="E52" s="2"/>
      </tp>
      <tp>
        <v>5544</v>
        <stp/>
        <stp>*H</stp>
        <stp>C 26N-ICE</stp>
        <stp>Last</stp>
        <stp>D</stp>
        <stp>13/08/2025 00:00:00</stp>
        <stp/>
        <stp/>
        <stp>-1</stp>
        <tr r="E65" s="2"/>
      </tp>
      <tp>
        <v>4552</v>
        <stp/>
        <stp>*H</stp>
        <stp>C 26N-ICE</stp>
        <stp>Last</stp>
        <stp>D</stp>
        <stp>23/10/2025 00:00:00</stp>
        <stp/>
        <stp/>
        <stp>-1</stp>
        <tr r="E16" s="2"/>
      </tp>
      <tp>
        <v>4758</v>
        <stp/>
        <stp>*H</stp>
        <stp>C 26N-ICE</stp>
        <stp>Last</stp>
        <stp>D</stp>
        <stp>03/11/2025 00:00:00</stp>
        <stp/>
        <stp/>
        <stp>-1</stp>
        <tr r="E9" s="2"/>
      </tp>
      <tp>
        <v>4169</v>
        <stp/>
        <stp>*H</stp>
        <stp>C 26N-ICE</stp>
        <stp>Last</stp>
        <stp>D</stp>
        <stp>13/10/2025 00:00:00</stp>
        <stp/>
        <stp/>
        <stp>-1</stp>
        <tr r="E24" s="2"/>
      </tp>
      <tp>
        <v>4363</v>
        <stp/>
        <stp>*H</stp>
        <stp>C 26N-ICE</stp>
        <stp>Last</stp>
        <stp>D</stp>
        <stp>03/10/2025 00:00:00</stp>
        <stp/>
        <stp/>
        <stp>-1</stp>
        <tr r="E30" s="2"/>
      </tp>
    </main>
    <main first="ixl">
      <tp>
        <v>48</v>
        <stp/>
        <stp>*H</stp>
        <stp>C 26UP300000-ICE</stp>
        <stp>Last</stp>
        <stp>D</stp>
        <stp>07/10/2025 00:00:00</stp>
        <stp/>
        <stp/>
        <stp>-1</stp>
        <tr r="B28" s="1"/>
      </tp>
      <tp>
        <v>30</v>
        <stp/>
        <stp>*H</stp>
        <stp>C 26UP300000-ICE</stp>
        <stp>Last</stp>
        <stp>D</stp>
        <stp>07/11/2025 00:00:00</stp>
        <stp/>
        <stp/>
        <stp>-1</stp>
        <tr r="B5" s="1"/>
      </tp>
      <tp>
        <v>61</v>
        <stp/>
        <stp>*H</stp>
        <stp>C 26UP300000-ICE</stp>
        <stp>Last</stp>
        <stp>D</stp>
        <stp>17/10/2025 00:00:00</stp>
        <stp/>
        <stp/>
        <stp>-1</stp>
        <tr r="B20" s="1"/>
      </tp>
      <tp>
        <v>27</v>
        <stp/>
        <stp>*H</stp>
        <stp>C 26UP300000-ICE</stp>
        <stp>Last</stp>
        <stp>D</stp>
        <stp>27/10/2025 00:00:00</stp>
        <stp/>
        <stp/>
        <stp>-1</stp>
        <tr r="B14" s="1"/>
      </tp>
      <tp>
        <v>31</v>
        <stp/>
        <stp>*H</stp>
        <stp>C 26NP300000-ICE</stp>
        <stp>Last</stp>
        <stp>D</stp>
        <stp>27/10/2025 00:00:00</stp>
        <stp/>
        <stp/>
        <stp>-1</stp>
        <tr r="B14" s="2"/>
      </tp>
      <tp>
        <v>33</v>
        <stp/>
        <stp>*H</stp>
        <stp>C 26NP300000-ICE</stp>
        <stp>Last</stp>
        <stp>D</stp>
        <stp>07/11/2025 00:00:00</stp>
        <stp/>
        <stp/>
        <stp>-1</stp>
        <tr r="B5" s="2"/>
      </tp>
      <tp>
        <v>56</v>
        <stp/>
        <stp>*H</stp>
        <stp>C 26NP300000-ICE</stp>
        <stp>Last</stp>
        <stp>D</stp>
        <stp>17/10/2025 00:00:00</stp>
        <stp/>
        <stp/>
        <stp>-1</stp>
        <tr r="B20" s="2"/>
      </tp>
      <tp>
        <v>45</v>
        <stp/>
        <stp>*H</stp>
        <stp>C 26NP300000-ICE</stp>
        <stp>Last</stp>
        <stp>D</stp>
        <stp>07/10/2025 00:00:00</stp>
        <stp/>
        <stp/>
        <stp>-1</stp>
        <tr r="B28" s="2"/>
      </tp>
      <tp>
        <v>30</v>
        <stp/>
        <stp>*H</stp>
        <stp>C 26UP300000-ICE</stp>
        <stp>Last</stp>
        <stp>D</stp>
        <stp>07/08/2025 00:00:00</stp>
        <stp/>
        <stp/>
        <stp>-1</stp>
        <tr r="B69" s="1"/>
      </tp>
      <tp>
        <v>17</v>
        <stp/>
        <stp>*H</stp>
        <stp>C 26UP300000-ICE</stp>
        <stp>Last</stp>
        <stp>D</stp>
        <stp>17/09/2025 00:00:00</stp>
        <stp/>
        <stp/>
        <stp>-1</stp>
        <tr r="B42" s="1"/>
      </tp>
      <tp>
        <v>24</v>
        <stp/>
        <stp>*H</stp>
        <stp>C 26UP300000-ICE</stp>
        <stp>Last</stp>
        <stp>D</stp>
        <stp>27/08/2025 00:00:00</stp>
        <stp/>
        <stp/>
        <stp>-1</stp>
        <tr r="B57" s="1"/>
      </tp>
      <tp>
        <v>44</v>
        <stp/>
        <stp>*H</stp>
        <stp>C 26UP300000-ICE</stp>
        <stp>Last</stp>
        <stp>D</stp>
        <stp>17/07/2025 00:00:00</stp>
        <stp/>
        <stp/>
        <stp>-1</stp>
        <tr r="B84" s="1"/>
      </tp>
      <tp>
        <v>31</v>
        <stp/>
        <stp>*H</stp>
        <stp>C 26NP300000-ICE</stp>
        <stp>Last</stp>
        <stp>D</stp>
        <stp>17/07/2025 00:00:00</stp>
        <stp/>
        <stp/>
        <stp>-1</stp>
        <tr r="B84" s="2"/>
      </tp>
      <tp>
        <v>30</v>
        <stp/>
        <stp>*H</stp>
        <stp>C 26NP300000-ICE</stp>
        <stp>Last</stp>
        <stp>D</stp>
        <stp>27/08/2025 00:00:00</stp>
        <stp/>
        <stp/>
        <stp>-1</stp>
        <tr r="B57" s="2"/>
      </tp>
      <tp>
        <v>39</v>
        <stp/>
        <stp>*H</stp>
        <stp>C 26NP300000-ICE</stp>
        <stp>Last</stp>
        <stp>D</stp>
        <stp>07/08/2025 00:00:00</stp>
        <stp/>
        <stp/>
        <stp>-1</stp>
        <tr r="B69" s="2"/>
      </tp>
      <tp>
        <v>17</v>
        <stp/>
        <stp>*H</stp>
        <stp>C 26NP300000-ICE</stp>
        <stp>Last</stp>
        <stp>D</stp>
        <stp>17/09/2025 00:00:00</stp>
        <stp/>
        <stp/>
        <stp>-1</stp>
        <tr r="B42" s="2"/>
      </tp>
    </main>
    <main first="ixl">
      <tp>
        <v>4489</v>
        <stp/>
        <stp>*H</stp>
        <stp>C 26U-ICE</stp>
        <stp>Last</stp>
        <stp>D</stp>
        <stp>24/10/2025 00:00:00</stp>
        <stp/>
        <stp/>
        <stp>-1</stp>
        <tr r="E15" s="1"/>
      </tp>
      <tp>
        <v>4781</v>
        <stp/>
        <stp>*H</stp>
        <stp>C 26U-ICE</stp>
        <stp>Last</stp>
        <stp>D</stp>
        <stp>04/11/2025 00:00:00</stp>
        <stp/>
        <stp/>
        <stp>-1</stp>
        <tr r="E8" s="1"/>
      </tp>
      <tp>
        <v>4207</v>
        <stp/>
        <stp>*H</stp>
        <stp>C 26U-ICE</stp>
        <stp>Last</stp>
        <stp>D</stp>
        <stp>14/10/2025 00:00:00</stp>
        <stp/>
        <stp/>
        <stp>-1</stp>
        <tr r="E23" s="1"/>
      </tp>
      <tp>
        <v>4968</v>
        <stp/>
        <stp>*H</stp>
        <stp>C 26U-ICE</stp>
        <stp>Last</stp>
        <stp>D</stp>
        <stp>14/07/2025 00:00:00</stp>
        <stp/>
        <stp/>
        <stp>-1</stp>
        <tr r="E87" s="1"/>
      </tp>
      <tp>
        <v>4902</v>
        <stp/>
        <stp>*H</stp>
        <stp>C 26U-ICE</stp>
        <stp>Last</stp>
        <stp>D</stp>
        <stp>24/07/2025 00:00:00</stp>
        <stp/>
        <stp/>
        <stp>-1</stp>
        <tr r="E79" s="1"/>
      </tp>
      <tp>
        <v>4859</v>
        <stp/>
        <stp>*H</stp>
        <stp>C 26U-ICE</stp>
        <stp>Last</stp>
        <stp>D</stp>
        <stp>24/09/2025 00:00:00</stp>
        <stp/>
        <stp/>
        <stp>-1</stp>
        <tr r="E37" s="1"/>
      </tp>
      <tp>
        <v>4924</v>
        <stp/>
        <stp>*H</stp>
        <stp>C 26U-ICE</stp>
        <stp>Last</stp>
        <stp>D</stp>
        <stp>04/09/2025 00:00:00</stp>
        <stp/>
        <stp/>
        <stp>-1</stp>
        <tr r="E51" s="1"/>
      </tp>
      <tp>
        <v>5315</v>
        <stp/>
        <stp>*H</stp>
        <stp>C 26U-ICE</stp>
        <stp>Last</stp>
        <stp>D</stp>
        <stp>14/08/2025 00:00:00</stp>
        <stp/>
        <stp/>
        <stp>-1</stp>
        <tr r="E64" s="1"/>
      </tp>
      <tp>
        <v>4993</v>
        <stp/>
        <stp>*H</stp>
        <stp>C 26U-ICE</stp>
        <stp>Last</stp>
        <stp>D</stp>
        <stp>04/08/2025 00:00:00</stp>
        <stp/>
        <stp/>
        <stp>-1</stp>
        <tr r="E72" s="1"/>
      </tp>
      <tp>
        <v>5044</v>
        <stp/>
        <stp>*H</stp>
        <stp>C 26N-ICE</stp>
        <stp>Last</stp>
        <stp>D</stp>
        <stp>14/07/2025 00:00:00</stp>
        <stp/>
        <stp/>
        <stp>-1</stp>
        <tr r="E87" s="2"/>
      </tp>
      <tp>
        <v>4970</v>
        <stp/>
        <stp>*H</stp>
        <stp>C 26N-ICE</stp>
        <stp>Last</stp>
        <stp>D</stp>
        <stp>24/07/2025 00:00:00</stp>
        <stp/>
        <stp/>
        <stp>-1</stp>
        <tr r="E79" s="2"/>
      </tp>
      <tp>
        <v>4897</v>
        <stp/>
        <stp>*H</stp>
        <stp>C 26N-ICE</stp>
        <stp>Last</stp>
        <stp>D</stp>
        <stp>24/09/2025 00:00:00</stp>
        <stp/>
        <stp/>
        <stp>-1</stp>
        <tr r="E37" s="2"/>
      </tp>
      <tp>
        <v>4981</v>
        <stp/>
        <stp>*H</stp>
        <stp>C 26N-ICE</stp>
        <stp>Last</stp>
        <stp>D</stp>
        <stp>04/09/2025 00:00:00</stp>
        <stp/>
        <stp/>
        <stp>-1</stp>
        <tr r="E51" s="2"/>
      </tp>
      <tp>
        <v>5376</v>
        <stp/>
        <stp>*H</stp>
        <stp>C 26N-ICE</stp>
        <stp>Last</stp>
        <stp>D</stp>
        <stp>14/08/2025 00:00:00</stp>
        <stp/>
        <stp/>
        <stp>-1</stp>
        <tr r="E64" s="2"/>
      </tp>
      <tp>
        <v>5052</v>
        <stp/>
        <stp>*H</stp>
        <stp>C 26N-ICE</stp>
        <stp>Last</stp>
        <stp>D</stp>
        <stp>04/08/2025 00:00:00</stp>
        <stp/>
        <stp/>
        <stp>-1</stp>
        <tr r="E72" s="2"/>
      </tp>
      <tp>
        <v>4533</v>
        <stp/>
        <stp>*H</stp>
        <stp>C 26N-ICE</stp>
        <stp>Last</stp>
        <stp>D</stp>
        <stp>24/10/2025 00:00:00</stp>
        <stp/>
        <stp/>
        <stp>-1</stp>
        <tr r="E15" s="2"/>
      </tp>
      <tp>
        <v>4820</v>
        <stp/>
        <stp>*H</stp>
        <stp>C 26N-ICE</stp>
        <stp>Last</stp>
        <stp>D</stp>
        <stp>04/11/2025 00:00:00</stp>
        <stp/>
        <stp/>
        <stp>-1</stp>
        <tr r="E8" s="2"/>
      </tp>
      <tp>
        <v>4208</v>
        <stp/>
        <stp>*H</stp>
        <stp>C 26N-ICE</stp>
        <stp>Last</stp>
        <stp>D</stp>
        <stp>14/10/2025 00:00:00</stp>
        <stp/>
        <stp/>
        <stp>-1</stp>
        <tr r="E23" s="2"/>
      </tp>
    </main>
    <main first="ixl">
      <tp>
        <v>24</v>
        <stp/>
        <stp>*H</stp>
        <stp>C 26UP300000-ICE</stp>
        <stp>Last</stp>
        <stp>D</stp>
        <stp>10/11/2025 00:00:00</stp>
        <stp/>
        <stp/>
        <stp>-1</stp>
        <tr r="B4" s="1"/>
      </tp>
      <tp>
        <v>66</v>
        <stp/>
        <stp>*H</stp>
        <stp>C 26UP300000-ICE</stp>
        <stp>Last</stp>
        <stp>D</stp>
        <stp>10/10/2025 00:00:00</stp>
        <stp/>
        <stp/>
        <stp>-1</stp>
        <tr r="B25" s="1"/>
      </tp>
      <tp>
        <v>47</v>
        <stp/>
        <stp>*H</stp>
        <stp>C 26UP300000-ICE</stp>
        <stp>Last</stp>
        <stp>D</stp>
        <stp>20/10/2025 00:00:00</stp>
        <stp/>
        <stp/>
        <stp>-1</stp>
        <tr r="B19" s="1"/>
      </tp>
      <tp>
        <v>25</v>
        <stp/>
        <stp>*H</stp>
        <stp>C 26UP300000-ICE</stp>
        <stp>Last</stp>
        <stp>D</stp>
        <stp>30/10/2025 00:00:00</stp>
        <stp/>
        <stp/>
        <stp>-1</stp>
        <tr r="B11" s="1"/>
      </tp>
      <tp>
        <v>34</v>
        <stp/>
        <stp>*H</stp>
        <stp>C 26NP300000-ICE</stp>
        <stp>Last</stp>
        <stp>D</stp>
        <stp>30/10/2025 00:00:00</stp>
        <stp/>
        <stp/>
        <stp>-1</stp>
        <tr r="B11" s="2"/>
      </tp>
      <tp>
        <v>54</v>
        <stp/>
        <stp>*H</stp>
        <stp>C 26NP300000-ICE</stp>
        <stp>Last</stp>
        <stp>D</stp>
        <stp>20/10/2025 00:00:00</stp>
        <stp/>
        <stp/>
        <stp>-1</stp>
        <tr r="B19" s="2"/>
      </tp>
      <tp>
        <v>64</v>
        <stp/>
        <stp>*H</stp>
        <stp>C 26NP300000-ICE</stp>
        <stp>Last</stp>
        <stp>D</stp>
        <stp>10/10/2025 00:00:00</stp>
        <stp/>
        <stp/>
        <stp>-1</stp>
        <tr r="B25" s="2"/>
      </tp>
      <tp>
        <v>30</v>
        <stp/>
        <stp>*H</stp>
        <stp>C 26NP300000-ICE</stp>
        <stp>Last</stp>
        <stp>D</stp>
        <stp>10/11/2025 00:00:00</stp>
        <stp/>
        <stp/>
        <stp>-1</stp>
        <tr r="B4" s="2"/>
      </tp>
      <tp>
        <v>29</v>
        <stp/>
        <stp>*H</stp>
        <stp>C 26UP300000-ICE</stp>
        <stp>Last</stp>
        <stp>D</stp>
        <stp>10/09/2025 00:00:00</stp>
        <stp/>
        <stp/>
        <stp>-1</stp>
        <tr r="B47" s="1"/>
      </tp>
      <tp>
        <v>27</v>
        <stp/>
        <stp>*H</stp>
        <stp>C 26UP300000-ICE</stp>
        <stp>Last</stp>
        <stp>D</stp>
        <stp>20/08/2025 00:00:00</stp>
        <stp/>
        <stp/>
        <stp>-1</stp>
        <tr r="B60" s="1"/>
      </tp>
      <tp>
        <v>28</v>
        <stp/>
        <stp>*H</stp>
        <stp>C 26UP300000-ICE</stp>
        <stp>Last</stp>
        <stp>D</stp>
        <stp>30/09/2025 00:00:00</stp>
        <stp/>
        <stp/>
        <stp>-1</stp>
        <tr r="B33" s="1"/>
      </tp>
      <tp>
        <v>23</v>
        <stp/>
        <stp>*H</stp>
        <stp>C 26UP300000-ICE</stp>
        <stp>Last</stp>
        <stp>D</stp>
        <stp>30/07/2025 00:00:00</stp>
        <stp/>
        <stp/>
        <stp>-1</stp>
        <tr r="B75" s="1"/>
      </tp>
      <tp>
        <v>30</v>
        <stp/>
        <stp>*H</stp>
        <stp>C 26NP300000-ICE</stp>
        <stp>Last</stp>
        <stp>D</stp>
        <stp>30/07/2025 00:00:00</stp>
        <stp/>
        <stp/>
        <stp>-1</stp>
        <tr r="B75" s="2"/>
      </tp>
      <tp>
        <v>32</v>
        <stp/>
        <stp>*H</stp>
        <stp>C 26NP300000-ICE</stp>
        <stp>Last</stp>
        <stp>D</stp>
        <stp>20/08/2025 00:00:00</stp>
        <stp/>
        <stp/>
        <stp>-1</stp>
        <tr r="B60" s="2"/>
      </tp>
      <tp>
        <v>32</v>
        <stp/>
        <stp>*H</stp>
        <stp>C 26NP300000-ICE</stp>
        <stp>Last</stp>
        <stp>D</stp>
        <stp>30/09/2025 00:00:00</stp>
        <stp/>
        <stp/>
        <stp>-1</stp>
        <tr r="B33" s="2"/>
      </tp>
      <tp>
        <v>34</v>
        <stp/>
        <stp>*H</stp>
        <stp>C 26NP300000-ICE</stp>
        <stp>Last</stp>
        <stp>D</stp>
        <stp>10/09/2025 00:00:00</stp>
        <stp/>
        <stp/>
        <stp>-1</stp>
        <tr r="B47" s="2"/>
      </tp>
    </main>
    <main first="ixl">
      <tp>
        <v>4631</v>
        <stp/>
        <stp>*H</stp>
        <stp>C 26U-ICE</stp>
        <stp>Last</stp>
        <stp>D</stp>
        <stp>05/11/2025 00:00:00</stp>
        <stp/>
        <stp/>
        <stp>-1</stp>
        <tr r="E7" s="1"/>
      </tp>
      <tp>
        <v>4116</v>
        <stp/>
        <stp>*H</stp>
        <stp>C 26U-ICE</stp>
        <stp>Last</stp>
        <stp>D</stp>
        <stp>15/10/2025 00:00:00</stp>
        <stp/>
        <stp/>
        <stp>-1</stp>
        <tr r="E22" s="1"/>
      </tp>
      <tp>
        <v>4876</v>
        <stp/>
        <stp>*H</stp>
        <stp>C 26U-ICE</stp>
        <stp>Last</stp>
        <stp>D</stp>
        <stp>15/07/2025 00:00:00</stp>
        <stp/>
        <stp/>
        <stp>-1</stp>
        <tr r="E86" s="1"/>
      </tp>
      <tp>
        <v>4992</v>
        <stp/>
        <stp>*H</stp>
        <stp>C 26U-ICE</stp>
        <stp>Last</stp>
        <stp>D</stp>
        <stp>25/07/2025 00:00:00</stp>
        <stp/>
        <stp/>
        <stp>-1</stp>
        <tr r="E78" s="1"/>
      </tp>
      <tp>
        <v>4825</v>
        <stp/>
        <stp>*H</stp>
        <stp>C 26U-ICE</stp>
        <stp>Last</stp>
        <stp>D</stp>
        <stp>25/09/2025 00:00:00</stp>
        <stp/>
        <stp/>
        <stp>-1</stp>
        <tr r="E36" s="1"/>
      </tp>
      <tp>
        <v>4918</v>
        <stp/>
        <stp>*H</stp>
        <stp>C 26U-ICE</stp>
        <stp>Last</stp>
        <stp>D</stp>
        <stp>05/09/2025 00:00:00</stp>
        <stp/>
        <stp/>
        <stp>-1</stp>
        <tr r="E50" s="1"/>
      </tp>
      <tp>
        <v>5286</v>
        <stp/>
        <stp>*H</stp>
        <stp>C 26U-ICE</stp>
        <stp>Last</stp>
        <stp>D</stp>
        <stp>15/08/2025 00:00:00</stp>
        <stp/>
        <stp/>
        <stp>-1</stp>
        <tr r="E63" s="1"/>
      </tp>
      <tp>
        <v>5091</v>
        <stp/>
        <stp>*H</stp>
        <stp>C 26U-ICE</stp>
        <stp>Last</stp>
        <stp>D</stp>
        <stp>05/08/2025 00:00:00</stp>
        <stp/>
        <stp/>
        <stp>-1</stp>
        <tr r="E71" s="1"/>
      </tp>
      <tp>
        <v>4999</v>
        <stp/>
        <stp>*H</stp>
        <stp>C 26U-ICE</stp>
        <stp>Last</stp>
        <stp>D</stp>
        <stp>15/09/2025 00:00:00</stp>
        <stp/>
        <stp/>
        <stp>-1</stp>
        <tr r="E44" s="1"/>
      </tp>
      <tp>
        <v>4950</v>
        <stp/>
        <stp>*H</stp>
        <stp>C 26N-ICE</stp>
        <stp>Last</stp>
        <stp>D</stp>
        <stp>15/07/2025 00:00:00</stp>
        <stp/>
        <stp/>
        <stp>-1</stp>
        <tr r="E86" s="2"/>
      </tp>
      <tp>
        <v>5065</v>
        <stp/>
        <stp>*H</stp>
        <stp>C 26N-ICE</stp>
        <stp>Last</stp>
        <stp>D</stp>
        <stp>25/07/2025 00:00:00</stp>
        <stp/>
        <stp/>
        <stp>-1</stp>
        <tr r="E78" s="2"/>
      </tp>
      <tp>
        <v>4862</v>
        <stp/>
        <stp>*H</stp>
        <stp>C 26N-ICE</stp>
        <stp>Last</stp>
        <stp>D</stp>
        <stp>25/09/2025 00:00:00</stp>
        <stp/>
        <stp/>
        <stp>-1</stp>
        <tr r="E36" s="2"/>
      </tp>
      <tp>
        <v>4975</v>
        <stp/>
        <stp>*H</stp>
        <stp>C 26N-ICE</stp>
        <stp>Last</stp>
        <stp>D</stp>
        <stp>05/09/2025 00:00:00</stp>
        <stp/>
        <stp/>
        <stp>-1</stp>
        <tr r="E50" s="2"/>
      </tp>
      <tp>
        <v>5350</v>
        <stp/>
        <stp>*H</stp>
        <stp>C 26N-ICE</stp>
        <stp>Last</stp>
        <stp>D</stp>
        <stp>15/08/2025 00:00:00</stp>
        <stp/>
        <stp/>
        <stp>-1</stp>
        <tr r="E63" s="2"/>
      </tp>
      <tp>
        <v>5159</v>
        <stp/>
        <stp>*H</stp>
        <stp>C 26N-ICE</stp>
        <stp>Last</stp>
        <stp>D</stp>
        <stp>05/08/2025 00:00:00</stp>
        <stp/>
        <stp/>
        <stp>-1</stp>
        <tr r="E71" s="2"/>
      </tp>
      <tp>
        <v>5076</v>
        <stp/>
        <stp>*H</stp>
        <stp>C 26N-ICE</stp>
        <stp>Last</stp>
        <stp>D</stp>
        <stp>15/09/2025 00:00:00</stp>
        <stp/>
        <stp/>
        <stp>-1</stp>
        <tr r="E44" s="2"/>
      </tp>
      <tp>
        <v>4673</v>
        <stp/>
        <stp>*H</stp>
        <stp>C 26N-ICE</stp>
        <stp>Last</stp>
        <stp>D</stp>
        <stp>05/11/2025 00:00:00</stp>
        <stp/>
        <stp/>
        <stp>-1</stp>
        <tr r="E7" s="2"/>
      </tp>
      <tp>
        <v>4117</v>
        <stp/>
        <stp>*H</stp>
        <stp>C 26N-ICE</stp>
        <stp>Last</stp>
        <stp>D</stp>
        <stp>15/10/2025 00:00:00</stp>
        <stp/>
        <stp/>
        <stp>-1</stp>
        <tr r="E22" s="2"/>
      </tp>
    </main>
    <main first="ixl">
      <tp>
        <v>30</v>
        <stp/>
        <stp>*H</stp>
        <stp>C 26UP300000-ICE</stp>
        <stp>Last</stp>
        <stp>D</stp>
        <stp>01/10/2025 00:00:00</stp>
        <stp/>
        <stp/>
        <stp>-1</stp>
        <tr r="B32" s="1"/>
      </tp>
      <tp>
        <v>36</v>
        <stp/>
        <stp>*H</stp>
        <stp>C 26UP300000-ICE</stp>
        <stp>Last</stp>
        <stp>D</stp>
        <stp>11/11/2025 00:00:00</stp>
        <stp/>
        <stp/>
        <stp>-1</stp>
        <tr r="B3" s="1"/>
      </tp>
      <tp>
        <v>41</v>
        <stp/>
        <stp>*H</stp>
        <stp>C 26UP300000-ICE</stp>
        <stp>Last</stp>
        <stp>D</stp>
        <stp>21/10/2025 00:00:00</stp>
        <stp/>
        <stp/>
        <stp>-1</stp>
        <tr r="B18" s="1"/>
      </tp>
      <tp>
        <v>25</v>
        <stp/>
        <stp>*H</stp>
        <stp>C 26UP300000-ICE</stp>
        <stp>Last</stp>
        <stp>D</stp>
        <stp>31/10/2025 00:00:00</stp>
        <stp/>
        <stp/>
        <stp>-1</stp>
        <tr r="B10" s="1"/>
      </tp>
      <tp>
        <v>33</v>
        <stp/>
        <stp>*H</stp>
        <stp>C 26NP300000-ICE</stp>
        <stp>Last</stp>
        <stp>D</stp>
        <stp>31/10/2025 00:00:00</stp>
        <stp/>
        <stp/>
        <stp>-1</stp>
        <tr r="B10" s="2"/>
      </tp>
      <tp>
        <v>50</v>
        <stp/>
        <stp>*H</stp>
        <stp>C 26NP300000-ICE</stp>
        <stp>Last</stp>
        <stp>D</stp>
        <stp>21/10/2025 00:00:00</stp>
        <stp/>
        <stp/>
        <stp>-1</stp>
        <tr r="B18" s="2"/>
      </tp>
      <tp>
        <v>34</v>
        <stp/>
        <stp>*H</stp>
        <stp>C 26NP300000-ICE</stp>
        <stp>Last</stp>
        <stp>D</stp>
        <stp>01/10/2025 00:00:00</stp>
        <stp/>
        <stp/>
        <stp>-1</stp>
        <tr r="B32" s="2"/>
      </tp>
      <tp>
        <v>40</v>
        <stp/>
        <stp>*H</stp>
        <stp>C 26NP300000-ICE</stp>
        <stp>Last</stp>
        <stp>D</stp>
        <stp>11/11/2025 00:00:00</stp>
        <stp/>
        <stp/>
        <stp>-1</stp>
        <tr r="B3" s="2"/>
      </tp>
      <tp>
        <v>28</v>
        <stp/>
        <stp>*H</stp>
        <stp>C 26UP300000-ICE</stp>
        <stp>Last</stp>
        <stp>D</stp>
        <stp>01/08/2025 00:00:00</stp>
        <stp/>
        <stp/>
        <stp>-1</stp>
        <tr r="B73" s="1"/>
      </tp>
      <tp>
        <v>27</v>
        <stp/>
        <stp>*H</stp>
        <stp>C 26UP300000-ICE</stp>
        <stp>Last</stp>
        <stp>D</stp>
        <stp>11/09/2025 00:00:00</stp>
        <stp/>
        <stp/>
        <stp>-1</stp>
        <tr r="B46" s="1"/>
      </tp>
      <tp>
        <v>28</v>
        <stp/>
        <stp>*H</stp>
        <stp>C 26UP300000-ICE</stp>
        <stp>Last</stp>
        <stp>D</stp>
        <stp>01/09/2025 00:00:00</stp>
        <stp/>
        <stp/>
        <stp>-1</stp>
        <tr r="B54" s="1"/>
      </tp>
      <tp>
        <v>20</v>
        <stp/>
        <stp>*H</stp>
        <stp>C 26UP300000-ICE</stp>
        <stp>Last</stp>
        <stp>D</stp>
        <stp>11/08/2025 00:00:00</stp>
        <stp/>
        <stp/>
        <stp>-1</stp>
        <tr r="B67" s="1"/>
      </tp>
      <tp>
        <v>25</v>
        <stp/>
        <stp>*H</stp>
        <stp>C 26UP300000-ICE</stp>
        <stp>Last</stp>
        <stp>D</stp>
        <stp>21/08/2025 00:00:00</stp>
        <stp/>
        <stp/>
        <stp>-1</stp>
        <tr r="B59" s="1"/>
      </tp>
      <tp>
        <v>24</v>
        <stp/>
        <stp>*H</stp>
        <stp>C 26UP300000-ICE</stp>
        <stp>Last</stp>
        <stp>D</stp>
        <stp>31/07/2025 00:00:00</stp>
        <stp/>
        <stp/>
        <stp>-1</stp>
        <tr r="B74" s="1"/>
      </tp>
      <tp>
        <v>23</v>
        <stp/>
        <stp>*H</stp>
        <stp>C 26UP300000-ICE</stp>
        <stp>Last</stp>
        <stp>D</stp>
        <stp>21/07/2025 00:00:00</stp>
        <stp/>
        <stp/>
        <stp>-1</stp>
        <tr r="B82" s="1"/>
      </tp>
      <tp>
        <v>15</v>
        <stp/>
        <stp>*H</stp>
        <stp>C 26NP300000-ICE</stp>
        <stp>Last</stp>
        <stp>D</stp>
        <stp>21/07/2025 00:00:00</stp>
        <stp/>
        <stp/>
        <stp>-1</stp>
        <tr r="B82" s="2"/>
      </tp>
      <tp>
        <v>32</v>
        <stp/>
        <stp>*H</stp>
        <stp>C 26NP300000-ICE</stp>
        <stp>Last</stp>
        <stp>D</stp>
        <stp>31/07/2025 00:00:00</stp>
        <stp/>
        <stp/>
        <stp>-1</stp>
        <tr r="B74" s="2"/>
      </tp>
      <tp>
        <v>29</v>
        <stp/>
        <stp>*H</stp>
        <stp>C 26NP300000-ICE</stp>
        <stp>Last</stp>
        <stp>D</stp>
        <stp>21/08/2025 00:00:00</stp>
        <stp/>
        <stp/>
        <stp>-1</stp>
        <tr r="B59" s="2"/>
      </tp>
      <tp>
        <v>33</v>
        <stp/>
        <stp>*H</stp>
        <stp>C 26NP300000-ICE</stp>
        <stp>Last</stp>
        <stp>D</stp>
        <stp>01/09/2025 00:00:00</stp>
        <stp/>
        <stp/>
        <stp>-1</stp>
        <tr r="B54" s="2"/>
      </tp>
      <tp>
        <v>29</v>
        <stp/>
        <stp>*H</stp>
        <stp>C 26NP300000-ICE</stp>
        <stp>Last</stp>
        <stp>D</stp>
        <stp>11/08/2025 00:00:00</stp>
        <stp/>
        <stp/>
        <stp>-1</stp>
        <tr r="B67" s="2"/>
      </tp>
      <tp>
        <v>36</v>
        <stp/>
        <stp>*H</stp>
        <stp>C 26NP300000-ICE</stp>
        <stp>Last</stp>
        <stp>D</stp>
        <stp>01/08/2025 00:00:00</stp>
        <stp/>
        <stp/>
        <stp>-1</stp>
        <tr r="B73" s="2"/>
      </tp>
      <tp>
        <v>26</v>
        <stp/>
        <stp>*H</stp>
        <stp>C 26NP300000-ICE</stp>
        <stp>Last</stp>
        <stp>D</stp>
        <stp>11/09/2025 00:00:00</stp>
        <stp/>
        <stp/>
        <stp>-1</stp>
        <tr r="B46" s="2"/>
      </tp>
    </main>
    <main first="ixl">
      <tp>
        <v>4437</v>
        <stp/>
        <stp>*H</stp>
        <stp>C 26U-ICE</stp>
        <stp>Last</stp>
        <stp>D</stp>
        <stp>06/11/2025 00:00:00</stp>
        <stp/>
        <stp/>
        <stp>-1</stp>
        <tr r="E6" s="1"/>
      </tp>
      <tp>
        <v>4228</v>
        <stp/>
        <stp>*H</stp>
        <stp>C 26U-ICE</stp>
        <stp>Last</stp>
        <stp>D</stp>
        <stp>16/10/2025 00:00:00</stp>
        <stp/>
        <stp/>
        <stp>-1</stp>
        <tr r="E21" s="1"/>
      </tp>
      <tp>
        <v>4405</v>
        <stp/>
        <stp>*H</stp>
        <stp>C 26U-ICE</stp>
        <stp>Last</stp>
        <stp>D</stp>
        <stp>06/10/2025 00:00:00</stp>
        <stp/>
        <stp/>
        <stp>-1</stp>
        <tr r="E29" s="1"/>
      </tp>
      <tp>
        <v>4845</v>
        <stp/>
        <stp>*H</stp>
        <stp>C 26U-ICE</stp>
        <stp>Last</stp>
        <stp>D</stp>
        <stp>16/07/2025 00:00:00</stp>
        <stp/>
        <stp/>
        <stp>-1</stp>
        <tr r="E85" s="1"/>
      </tp>
      <tp>
        <v>4795</v>
        <stp/>
        <stp>*H</stp>
        <stp>C 26U-ICE</stp>
        <stp>Last</stp>
        <stp>D</stp>
        <stp>26/09/2025 00:00:00</stp>
        <stp/>
        <stp/>
        <stp>-1</stp>
        <tr r="E35" s="1"/>
      </tp>
      <tp>
        <v>5073</v>
        <stp/>
        <stp>*H</stp>
        <stp>C 26U-ICE</stp>
        <stp>Last</stp>
        <stp>D</stp>
        <stp>06/08/2025 00:00:00</stp>
        <stp/>
        <stp/>
        <stp>-1</stp>
        <tr r="E70" s="1"/>
      </tp>
      <tp>
        <v>4905</v>
        <stp/>
        <stp>*H</stp>
        <stp>C 26U-ICE</stp>
        <stp>Last</stp>
        <stp>D</stp>
        <stp>16/09/2025 00:00:00</stp>
        <stp/>
        <stp/>
        <stp>-1</stp>
        <tr r="E43" s="1"/>
      </tp>
      <tp>
        <v>4913</v>
        <stp/>
        <stp>*H</stp>
        <stp>C 26N-ICE</stp>
        <stp>Last</stp>
        <stp>D</stp>
        <stp>16/07/2025 00:00:00</stp>
        <stp/>
        <stp/>
        <stp>-1</stp>
        <tr r="E85" s="2"/>
      </tp>
      <tp>
        <v>4826</v>
        <stp/>
        <stp>*H</stp>
        <stp>C 26N-ICE</stp>
        <stp>Last</stp>
        <stp>D</stp>
        <stp>26/09/2025 00:00:00</stp>
        <stp/>
        <stp/>
        <stp>-1</stp>
        <tr r="E35" s="2"/>
      </tp>
      <tp>
        <v>5142</v>
        <stp/>
        <stp>*H</stp>
        <stp>C 26N-ICE</stp>
        <stp>Last</stp>
        <stp>D</stp>
        <stp>06/08/2025 00:00:00</stp>
        <stp/>
        <stp/>
        <stp>-1</stp>
        <tr r="E70" s="2"/>
      </tp>
      <tp>
        <v>4983</v>
        <stp/>
        <stp>*H</stp>
        <stp>C 26N-ICE</stp>
        <stp>Last</stp>
        <stp>D</stp>
        <stp>16/09/2025 00:00:00</stp>
        <stp/>
        <stp/>
        <stp>-1</stp>
        <tr r="E43" s="2"/>
      </tp>
      <tp>
        <v>4489</v>
        <stp/>
        <stp>*H</stp>
        <stp>C 26N-ICE</stp>
        <stp>Last</stp>
        <stp>D</stp>
        <stp>06/11/2025 00:00:00</stp>
        <stp/>
        <stp/>
        <stp>-1</stp>
        <tr r="E6" s="2"/>
      </tp>
      <tp>
        <v>4231</v>
        <stp/>
        <stp>*H</stp>
        <stp>C 26N-ICE</stp>
        <stp>Last</stp>
        <stp>D</stp>
        <stp>16/10/2025 00:00:00</stp>
        <stp/>
        <stp/>
        <stp>-1</stp>
        <tr r="E21" s="2"/>
      </tp>
      <tp>
        <v>4406</v>
        <stp/>
        <stp>*H</stp>
        <stp>C 26N-ICE</stp>
        <stp>Last</stp>
        <stp>D</stp>
        <stp>06/10/2025 00:00:00</stp>
        <stp/>
        <stp/>
        <stp>-1</stp>
        <tr r="E29" s="2"/>
      </tp>
      <tp>
        <v>250</v>
        <stp/>
        <stp>*H</stp>
        <stp>C 26UP300000-ICE</stp>
        <stp>Open Interest</stp>
        <stp>D</stp>
        <stp>08/09/2025 00:00:00</stp>
        <stp/>
        <stp/>
        <stp>-1</stp>
        <tr r="D49" s="1"/>
      </tp>
      <tp>
        <v>250</v>
        <stp/>
        <stp>*H</stp>
        <stp>C 26UP300000-ICE</stp>
        <stp>Open Interest</stp>
        <stp>D</stp>
        <stp>18/08/2025 00:00:00</stp>
        <stp/>
        <stp/>
        <stp>-1</stp>
        <tr r="D62" s="1"/>
      </tp>
      <tp>
        <v>250</v>
        <stp/>
        <stp>*H</stp>
        <stp>C 26UP300000-ICE</stp>
        <stp>Open Interest</stp>
        <stp>D</stp>
        <stp>08/08/2025 00:00:00</stp>
        <stp/>
        <stp/>
        <stp>-1</stp>
        <tr r="D68" s="1"/>
      </tp>
      <tp>
        <v>250</v>
        <stp/>
        <stp>*H</stp>
        <stp>C 26UP300000-ICE</stp>
        <stp>Open Interest</stp>
        <stp>D</stp>
        <stp>18/09/2025 00:00:00</stp>
        <stp/>
        <stp/>
        <stp>-1</stp>
        <tr r="D41" s="1"/>
      </tp>
      <tp>
        <v>250</v>
        <stp/>
        <stp>*H</stp>
        <stp>C 26UP300000-ICE</stp>
        <stp>Open Interest</stp>
        <stp>D</stp>
        <stp>28/08/2025 00:00:00</stp>
        <stp/>
        <stp/>
        <stp>-1</stp>
        <tr r="D56" s="1"/>
      </tp>
      <tp>
        <v>0</v>
        <stp/>
        <stp>*H</stp>
        <stp>C 26UP300000-ICE</stp>
        <stp>Open Interest</stp>
        <stp>D</stp>
        <stp>28/07/2025 00:00:00</stp>
        <stp/>
        <stp/>
        <stp>-1</stp>
        <tr r="D77" s="1"/>
      </tp>
      <tp>
        <v>0</v>
        <stp/>
        <stp>*H</stp>
        <stp>C 26UP300000-ICE</stp>
        <stp>Open Interest</stp>
        <stp>D</stp>
        <stp>18/07/2025 00:00:00</stp>
        <stp/>
        <stp/>
        <stp>-1</stp>
        <tr r="D83" s="1"/>
      </tp>
      <tp>
        <v>250</v>
        <stp/>
        <stp>*H</stp>
        <stp>C 26UP300000-ICE</stp>
        <stp>Open Interest</stp>
        <stp>D</stp>
        <stp>08/10/2025 00:00:00</stp>
        <stp/>
        <stp/>
        <stp>-1</stp>
        <tr r="D27" s="1"/>
      </tp>
      <tp>
        <v>250</v>
        <stp/>
        <stp>*H</stp>
        <stp>C 26UP300000-ICE</stp>
        <stp>Open Interest</stp>
        <stp>D</stp>
        <stp>28/10/2025 00:00:00</stp>
        <stp/>
        <stp/>
        <stp>-1</stp>
        <tr r="D13" s="1"/>
      </tp>
    </main>
    <main first="ixl">
      <tp>
        <v>300</v>
        <stp/>
        <stp>*H</stp>
        <stp>C 26NP300000-ICE</stp>
        <stp>Open Interest</stp>
        <stp>D</stp>
        <stp>08/10/2025 00:00:00</stp>
        <stp/>
        <stp/>
        <stp>-1</stp>
        <tr r="D27" s="2"/>
      </tp>
      <tp>
        <v>300</v>
        <stp/>
        <stp>*H</stp>
        <stp>C 26NP300000-ICE</stp>
        <stp>Open Interest</stp>
        <stp>D</stp>
        <stp>28/10/2025 00:00:00</stp>
        <stp/>
        <stp/>
        <stp>-1</stp>
        <tr r="D13" s="2"/>
      </tp>
      <tp>
        <v>250</v>
        <stp/>
        <stp>*H</stp>
        <stp>C 26NP300000-ICE</stp>
        <stp>Open Interest</stp>
        <stp>D</stp>
        <stp>08/09/2025 00:00:00</stp>
        <stp/>
        <stp/>
        <stp>-1</stp>
        <tr r="D49" s="2"/>
      </tp>
      <tp>
        <v>250</v>
        <stp/>
        <stp>*H</stp>
        <stp>C 26NP300000-ICE</stp>
        <stp>Open Interest</stp>
        <stp>D</stp>
        <stp>18/08/2025 00:00:00</stp>
        <stp/>
        <stp/>
        <stp>-1</stp>
        <tr r="D62" s="2"/>
      </tp>
      <tp>
        <v>250</v>
        <stp/>
        <stp>*H</stp>
        <stp>C 26NP300000-ICE</stp>
        <stp>Open Interest</stp>
        <stp>D</stp>
        <stp>08/08/2025 00:00:00</stp>
        <stp/>
        <stp/>
        <stp>-1</stp>
        <tr r="D68" s="2"/>
      </tp>
      <tp>
        <v>250</v>
        <stp/>
        <stp>*H</stp>
        <stp>C 26NP300000-ICE</stp>
        <stp>Open Interest</stp>
        <stp>D</stp>
        <stp>18/09/2025 00:00:00</stp>
        <stp/>
        <stp/>
        <stp>-1</stp>
        <tr r="D41" s="2"/>
      </tp>
      <tp>
        <v>250</v>
        <stp/>
        <stp>*H</stp>
        <stp>C 26NP300000-ICE</stp>
        <stp>Open Interest</stp>
        <stp>D</stp>
        <stp>28/08/2025 00:00:00</stp>
        <stp/>
        <stp/>
        <stp>-1</stp>
        <tr r="D56" s="2"/>
      </tp>
      <tp>
        <v>0</v>
        <stp/>
        <stp>*H</stp>
        <stp>C 26NP300000-ICE</stp>
        <stp>Open Interest</stp>
        <stp>D</stp>
        <stp>28/07/2025 00:00:00</stp>
        <stp/>
        <stp/>
        <stp>-1</stp>
        <tr r="D77" s="2"/>
      </tp>
      <tp>
        <v>0</v>
        <stp/>
        <stp>*H</stp>
        <stp>C 26NP300000-ICE</stp>
        <stp>Open Interest</stp>
        <stp>D</stp>
        <stp>18/07/2025 00:00:00</stp>
        <stp/>
        <stp/>
        <stp>-1</stp>
        <tr r="D83" s="2"/>
      </tp>
    </main>
    <main first="ixl">
      <tp>
        <v>31</v>
        <stp/>
        <stp>*H</stp>
        <stp>C 26UP300000-ICE</stp>
        <stp>Last</stp>
        <stp>D</stp>
        <stp>02/10/2025 00:00:00</stp>
        <stp/>
        <stp/>
        <stp>-1</stp>
        <tr r="B31" s="1"/>
      </tp>
      <tp>
        <v>40</v>
        <stp/>
        <stp>*H</stp>
        <stp>C 26UP300000-ICE</stp>
        <stp>Last</stp>
        <stp>D</stp>
        <stp>12/11/2025 00:00:00</stp>
        <stp/>
        <stp/>
        <stp>-1</stp>
        <tr r="B2" s="1"/>
      </tp>
      <tp>
        <v>25</v>
        <stp/>
        <stp>*H</stp>
        <stp>C 26UP300000-ICE</stp>
        <stp>Last</stp>
        <stp>D</stp>
        <stp>22/10/2025 00:00:00</stp>
        <stp/>
        <stp/>
        <stp>-1</stp>
        <tr r="B17" s="1"/>
      </tp>
      <tp>
        <v>29</v>
        <stp/>
        <stp>*H</stp>
        <stp>C 26NP300000-ICE</stp>
        <stp>Last</stp>
        <stp>D</stp>
        <stp>22/10/2025 00:00:00</stp>
        <stp/>
        <stp/>
        <stp>-1</stp>
        <tr r="B17" s="2"/>
      </tp>
      <tp>
        <v>33</v>
        <stp/>
        <stp>*H</stp>
        <stp>C 26NP300000-ICE</stp>
        <stp>Last</stp>
        <stp>D</stp>
        <stp>02/10/2025 00:00:00</stp>
        <stp/>
        <stp/>
        <stp>-1</stp>
        <tr r="B31" s="2"/>
      </tp>
      <tp>
        <v>42</v>
        <stp/>
        <stp>*H</stp>
        <stp>C 26NP300000-ICE</stp>
        <stp>Last</stp>
        <stp>D</stp>
        <stp>12/11/2025 00:00:00</stp>
        <stp/>
        <stp/>
        <stp>-1</stp>
        <tr r="B2" s="2"/>
      </tp>
      <tp>
        <v>28</v>
        <stp/>
        <stp>*H</stp>
        <stp>C 26UP300000-ICE</stp>
        <stp>Last</stp>
        <stp>D</stp>
        <stp>12/09/2025 00:00:00</stp>
        <stp/>
        <stp/>
        <stp>-1</stp>
        <tr r="B45" s="1"/>
      </tp>
      <tp>
        <v>27</v>
        <stp/>
        <stp>*H</stp>
        <stp>C 26UP300000-ICE</stp>
        <stp>Last</stp>
        <stp>D</stp>
        <stp>02/09/2025 00:00:00</stp>
        <stp/>
        <stp/>
        <stp>-1</stp>
        <tr r="B53" s="1"/>
      </tp>
      <tp>
        <v>22</v>
        <stp/>
        <stp>*H</stp>
        <stp>C 26UP300000-ICE</stp>
        <stp>Last</stp>
        <stp>D</stp>
        <stp>12/08/2025 00:00:00</stp>
        <stp/>
        <stp/>
        <stp>-1</stp>
        <tr r="B66" s="1"/>
      </tp>
      <tp>
        <v>27</v>
        <stp/>
        <stp>*H</stp>
        <stp>C 26UP300000-ICE</stp>
        <stp>Last</stp>
        <stp>D</stp>
        <stp>22/08/2025 00:00:00</stp>
        <stp/>
        <stp/>
        <stp>-1</stp>
        <tr r="B58" s="1"/>
      </tp>
      <tp>
        <v>19</v>
        <stp/>
        <stp>*H</stp>
        <stp>C 26UP300000-ICE</stp>
        <stp>Last</stp>
        <stp>D</stp>
        <stp>22/09/2025 00:00:00</stp>
        <stp/>
        <stp/>
        <stp>-1</stp>
        <tr r="B39" s="1"/>
      </tp>
      <tp>
        <v>19</v>
        <stp/>
        <stp>*H</stp>
        <stp>C 26UP300000-ICE</stp>
        <stp>Last</stp>
        <stp>D</stp>
        <stp>22/07/2025 00:00:00</stp>
        <stp/>
        <stp/>
        <stp>-1</stp>
        <tr r="B81" s="1"/>
      </tp>
      <tp>
        <v>13</v>
        <stp/>
        <stp>*H</stp>
        <stp>C 26NP300000-ICE</stp>
        <stp>Last</stp>
        <stp>D</stp>
        <stp>22/07/2025 00:00:00</stp>
        <stp/>
        <stp/>
        <stp>-1</stp>
        <tr r="B81" s="2"/>
      </tp>
      <tp>
        <v>19</v>
        <stp/>
        <stp>*H</stp>
        <stp>C 26NP300000-ICE</stp>
        <stp>Last</stp>
        <stp>D</stp>
        <stp>22/09/2025 00:00:00</stp>
        <stp/>
        <stp/>
        <stp>-1</stp>
        <tr r="B39" s="2"/>
      </tp>
      <tp>
        <v>30</v>
        <stp/>
        <stp>*H</stp>
        <stp>C 26NP300000-ICE</stp>
        <stp>Last</stp>
        <stp>D</stp>
        <stp>22/08/2025 00:00:00</stp>
        <stp/>
        <stp/>
        <stp>-1</stp>
        <tr r="B58" s="2"/>
      </tp>
      <tp>
        <v>33</v>
        <stp/>
        <stp>*H</stp>
        <stp>C 26NP300000-ICE</stp>
        <stp>Last</stp>
        <stp>D</stp>
        <stp>02/09/2025 00:00:00</stp>
        <stp/>
        <stp/>
        <stp>-1</stp>
        <tr r="B53" s="2"/>
      </tp>
      <tp>
        <v>31</v>
        <stp/>
        <stp>*H</stp>
        <stp>C 26NP300000-ICE</stp>
        <stp>Last</stp>
        <stp>D</stp>
        <stp>12/08/2025 00:00:00</stp>
        <stp/>
        <stp/>
        <stp>-1</stp>
        <tr r="B66" s="2"/>
      </tp>
      <tp>
        <v>25</v>
        <stp/>
        <stp>*H</stp>
        <stp>C 26NP300000-ICE</stp>
        <stp>Last</stp>
        <stp>D</stp>
        <stp>12/09/2025 00:00:00</stp>
        <stp/>
        <stp/>
        <stp>-1</stp>
        <tr r="B45" s="2"/>
      </tp>
    </main>
    <main first="ixl">
      <tp>
        <v>4317</v>
        <stp/>
        <stp>*H</stp>
        <stp>C 26U-ICE</stp>
        <stp>Last</stp>
        <stp>D</stp>
        <stp>27/10/2025 00:00:00</stp>
        <stp/>
        <stp/>
        <stp>-1</stp>
        <tr r="E14" s="1"/>
      </tp>
      <tp>
        <v>4311</v>
        <stp/>
        <stp>*H</stp>
        <stp>C 26U-ICE</stp>
        <stp>Last</stp>
        <stp>D</stp>
        <stp>07/11/2025 00:00:00</stp>
        <stp/>
        <stp/>
        <stp>-1</stp>
        <tr r="E5" s="1"/>
      </tp>
      <tp>
        <v>4168</v>
        <stp/>
        <stp>*H</stp>
        <stp>C 26U-ICE</stp>
        <stp>Last</stp>
        <stp>D</stp>
        <stp>17/10/2025 00:00:00</stp>
        <stp/>
        <stp/>
        <stp>-1</stp>
        <tr r="E20" s="1"/>
      </tp>
      <tp>
        <v>4314</v>
        <stp/>
        <stp>*H</stp>
        <stp>C 26U-ICE</stp>
        <stp>Last</stp>
        <stp>D</stp>
        <stp>07/10/2025 00:00:00</stp>
        <stp/>
        <stp/>
        <stp>-1</stp>
        <tr r="E28" s="1"/>
      </tp>
      <tp>
        <v>4688</v>
        <stp/>
        <stp>*H</stp>
        <stp>C 26U-ICE</stp>
        <stp>Last</stp>
        <stp>D</stp>
        <stp>17/07/2025 00:00:00</stp>
        <stp/>
        <stp/>
        <stp>-1</stp>
        <tr r="E84" s="1"/>
      </tp>
      <tp>
        <v>5111</v>
        <stp/>
        <stp>*H</stp>
        <stp>C 26U-ICE</stp>
        <stp>Last</stp>
        <stp>D</stp>
        <stp>27/08/2025 00:00:00</stp>
        <stp/>
        <stp/>
        <stp>-1</stp>
        <tr r="E57" s="1"/>
      </tp>
      <tp>
        <v>5082</v>
        <stp/>
        <stp>*H</stp>
        <stp>C 26U-ICE</stp>
        <stp>Last</stp>
        <stp>D</stp>
        <stp>07/08/2025 00:00:00</stp>
        <stp/>
        <stp/>
        <stp>-1</stp>
        <tr r="E69" s="1"/>
      </tp>
      <tp>
        <v>4926</v>
        <stp/>
        <stp>*H</stp>
        <stp>C 26U-ICE</stp>
        <stp>Last</stp>
        <stp>D</stp>
        <stp>17/09/2025 00:00:00</stp>
        <stp/>
        <stp/>
        <stp>-1</stp>
        <tr r="E42" s="1"/>
      </tp>
      <tp>
        <v>4733</v>
        <stp/>
        <stp>*H</stp>
        <stp>C 26N-ICE</stp>
        <stp>Last</stp>
        <stp>D</stp>
        <stp>17/07/2025 00:00:00</stp>
        <stp/>
        <stp/>
        <stp>-1</stp>
        <tr r="E84" s="2"/>
      </tp>
      <tp>
        <v>5173</v>
        <stp/>
        <stp>*H</stp>
        <stp>C 26N-ICE</stp>
        <stp>Last</stp>
        <stp>D</stp>
        <stp>27/08/2025 00:00:00</stp>
        <stp/>
        <stp/>
        <stp>-1</stp>
        <tr r="E57" s="2"/>
      </tp>
      <tp>
        <v>5153</v>
        <stp/>
        <stp>*H</stp>
        <stp>C 26N-ICE</stp>
        <stp>Last</stp>
        <stp>D</stp>
        <stp>07/08/2025 00:00:00</stp>
        <stp/>
        <stp/>
        <stp>-1</stp>
        <tr r="E69" s="2"/>
      </tp>
      <tp>
        <v>4995</v>
        <stp/>
        <stp>*H</stp>
        <stp>C 26N-ICE</stp>
        <stp>Last</stp>
        <stp>D</stp>
        <stp>17/09/2025 00:00:00</stp>
        <stp/>
        <stp/>
        <stp>-1</stp>
        <tr r="E42" s="2"/>
      </tp>
      <tp>
        <v>4357</v>
        <stp/>
        <stp>*H</stp>
        <stp>C 26N-ICE</stp>
        <stp>Last</stp>
        <stp>D</stp>
        <stp>27/10/2025 00:00:00</stp>
        <stp/>
        <stp/>
        <stp>-1</stp>
        <tr r="E14" s="2"/>
      </tp>
      <tp>
        <v>4360</v>
        <stp/>
        <stp>*H</stp>
        <stp>C 26N-ICE</stp>
        <stp>Last</stp>
        <stp>D</stp>
        <stp>07/11/2025 00:00:00</stp>
        <stp/>
        <stp/>
        <stp>-1</stp>
        <tr r="E5" s="2"/>
      </tp>
      <tp>
        <v>4171</v>
        <stp/>
        <stp>*H</stp>
        <stp>C 26N-ICE</stp>
        <stp>Last</stp>
        <stp>D</stp>
        <stp>17/10/2025 00:00:00</stp>
        <stp/>
        <stp/>
        <stp>-1</stp>
        <tr r="E20" s="2"/>
      </tp>
      <tp>
        <v>4310</v>
        <stp/>
        <stp>*H</stp>
        <stp>C 26N-ICE</stp>
        <stp>Last</stp>
        <stp>D</stp>
        <stp>07/10/2025 00:00:00</stp>
        <stp/>
        <stp/>
        <stp>-1</stp>
        <tr r="E28" s="2"/>
      </tp>
      <tp>
        <v>250</v>
        <stp/>
        <stp>*H</stp>
        <stp>C 26UP300000-ICE</stp>
        <stp>Open Interest</stp>
        <stp>D</stp>
        <stp>09/09/2025 00:00:00</stp>
        <stp/>
        <stp/>
        <stp>-1</stp>
        <tr r="D48" s="1"/>
      </tp>
      <tp>
        <v>250</v>
        <stp/>
        <stp>*H</stp>
        <stp>C 26UP300000-ICE</stp>
        <stp>Open Interest</stp>
        <stp>D</stp>
        <stp>19/08/2025 00:00:00</stp>
        <stp/>
        <stp/>
        <stp>-1</stp>
        <tr r="D61" s="1"/>
      </tp>
      <tp>
        <v>250</v>
        <stp/>
        <stp>*H</stp>
        <stp>C 26UP300000-ICE</stp>
        <stp>Open Interest</stp>
        <stp>D</stp>
        <stp>19/09/2025 00:00:00</stp>
        <stp/>
        <stp/>
        <stp>-1</stp>
        <tr r="D40" s="1"/>
      </tp>
      <tp>
        <v>250</v>
        <stp/>
        <stp>*H</stp>
        <stp>C 26UP300000-ICE</stp>
        <stp>Open Interest</stp>
        <stp>D</stp>
        <stp>29/09/2025 00:00:00</stp>
        <stp/>
        <stp/>
        <stp>-1</stp>
        <tr r="D34" s="1"/>
      </tp>
      <tp>
        <v>250</v>
        <stp/>
        <stp>*H</stp>
        <stp>C 26UP300000-ICE</stp>
        <stp>Open Interest</stp>
        <stp>D</stp>
        <stp>29/08/2025 00:00:00</stp>
        <stp/>
        <stp/>
        <stp>-1</stp>
        <tr r="D55" s="1"/>
      </tp>
      <tp>
        <v>0</v>
        <stp/>
        <stp>*H</stp>
        <stp>C 26UP300000-ICE</stp>
        <stp>Open Interest</stp>
        <stp>D</stp>
        <stp>29/07/2025 00:00:00</stp>
        <stp/>
        <stp/>
        <stp>-1</stp>
        <tr r="D76" s="1"/>
      </tp>
      <tp>
        <v>250</v>
        <stp/>
        <stp>*H</stp>
        <stp>C 26UP300000-ICE</stp>
        <stp>Open Interest</stp>
        <stp>D</stp>
        <stp>09/10/2025 00:00:00</stp>
        <stp/>
        <stp/>
        <stp>-1</stp>
        <tr r="D26" s="1"/>
      </tp>
      <tp>
        <v>250</v>
        <stp/>
        <stp>*H</stp>
        <stp>C 26UP300000-ICE</stp>
        <stp>Open Interest</stp>
        <stp>D</stp>
        <stp>29/10/2025 00:00:00</stp>
        <stp/>
        <stp/>
        <stp>-1</stp>
        <tr r="D12" s="1"/>
      </tp>
    </main>
    <main first="ixl">
      <tp>
        <v>300</v>
        <stp/>
        <stp>*H</stp>
        <stp>C 26NP300000-ICE</stp>
        <stp>Open Interest</stp>
        <stp>D</stp>
        <stp>09/10/2025 00:00:00</stp>
        <stp/>
        <stp/>
        <stp>-1</stp>
        <tr r="D26" s="2"/>
      </tp>
      <tp>
        <v>300</v>
        <stp/>
        <stp>*H</stp>
        <stp>C 26NP300000-ICE</stp>
        <stp>Open Interest</stp>
        <stp>D</stp>
        <stp>29/10/2025 00:00:00</stp>
        <stp/>
        <stp/>
        <stp>-1</stp>
        <tr r="D12" s="2"/>
      </tp>
      <tp>
        <v>250</v>
        <stp/>
        <stp>*H</stp>
        <stp>C 26NP300000-ICE</stp>
        <stp>Open Interest</stp>
        <stp>D</stp>
        <stp>09/09/2025 00:00:00</stp>
        <stp/>
        <stp/>
        <stp>-1</stp>
        <tr r="D48" s="2"/>
      </tp>
      <tp>
        <v>250</v>
        <stp/>
        <stp>*H</stp>
        <stp>C 26NP300000-ICE</stp>
        <stp>Open Interest</stp>
        <stp>D</stp>
        <stp>19/08/2025 00:00:00</stp>
        <stp/>
        <stp/>
        <stp>-1</stp>
        <tr r="D61" s="2"/>
      </tp>
      <tp>
        <v>250</v>
        <stp/>
        <stp>*H</stp>
        <stp>C 26NP300000-ICE</stp>
        <stp>Open Interest</stp>
        <stp>D</stp>
        <stp>19/09/2025 00:00:00</stp>
        <stp/>
        <stp/>
        <stp>-1</stp>
        <tr r="D40" s="2"/>
      </tp>
      <tp>
        <v>300</v>
        <stp/>
        <stp>*H</stp>
        <stp>C 26NP300000-ICE</stp>
        <stp>Open Interest</stp>
        <stp>D</stp>
        <stp>29/09/2025 00:00:00</stp>
        <stp/>
        <stp/>
        <stp>-1</stp>
        <tr r="D34" s="2"/>
      </tp>
      <tp>
        <v>250</v>
        <stp/>
        <stp>*H</stp>
        <stp>C 26NP300000-ICE</stp>
        <stp>Open Interest</stp>
        <stp>D</stp>
        <stp>29/08/2025 00:00:00</stp>
        <stp/>
        <stp/>
        <stp>-1</stp>
        <tr r="D55" s="2"/>
      </tp>
      <tp>
        <v>0</v>
        <stp/>
        <stp>*H</stp>
        <stp>C 26NP300000-ICE</stp>
        <stp>Open Interest</stp>
        <stp>D</stp>
        <stp>29/07/2025 00:00:00</stp>
        <stp/>
        <stp/>
        <stp>-1</stp>
        <tr r="D76" s="2"/>
      </tp>
    </main>
    <main first="ixl">
      <tp>
        <v>40</v>
        <stp/>
        <stp>*H</stp>
        <stp>C 26UP300000-ICE</stp>
        <stp>Last</stp>
        <stp>D</stp>
        <stp>03/10/2025 00:00:00</stp>
        <stp/>
        <stp/>
        <stp>-1</stp>
        <tr r="B30" s="1"/>
      </tp>
      <tp>
        <v>14</v>
        <stp/>
        <stp>*H</stp>
        <stp>C 26UP300000-ICE</stp>
        <stp>Last</stp>
        <stp>D</stp>
        <stp>03/11/2025 00:00:00</stp>
        <stp/>
        <stp/>
        <stp>-1</stp>
        <tr r="B9" s="1"/>
      </tp>
      <tp>
        <v>56</v>
        <stp/>
        <stp>*H</stp>
        <stp>C 26UP300000-ICE</stp>
        <stp>Last</stp>
        <stp>D</stp>
        <stp>13/10/2025 00:00:00</stp>
        <stp/>
        <stp/>
        <stp>-1</stp>
        <tr r="B24" s="1"/>
      </tp>
      <tp>
        <v>24</v>
        <stp/>
        <stp>*H</stp>
        <stp>C 26UP300000-ICE</stp>
        <stp>Last</stp>
        <stp>D</stp>
        <stp>23/10/2025 00:00:00</stp>
        <stp/>
        <stp/>
        <stp>-1</stp>
        <tr r="B16" s="1"/>
      </tp>
      <tp>
        <v>27</v>
        <stp/>
        <stp>*H</stp>
        <stp>C 26NP300000-ICE</stp>
        <stp>Last</stp>
        <stp>D</stp>
        <stp>23/10/2025 00:00:00</stp>
        <stp/>
        <stp/>
        <stp>-1</stp>
        <tr r="B16" s="2"/>
      </tp>
      <tp>
        <v>22</v>
        <stp/>
        <stp>*H</stp>
        <stp>C 26NP300000-ICE</stp>
        <stp>Last</stp>
        <stp>D</stp>
        <stp>03/11/2025 00:00:00</stp>
        <stp/>
        <stp/>
        <stp>-1</stp>
        <tr r="B9" s="2"/>
      </tp>
      <tp>
        <v>55</v>
        <stp/>
        <stp>*H</stp>
        <stp>C 26NP300000-ICE</stp>
        <stp>Last</stp>
        <stp>D</stp>
        <stp>13/10/2025 00:00:00</stp>
        <stp/>
        <stp/>
        <stp>-1</stp>
        <tr r="B24" s="2"/>
      </tp>
      <tp>
        <v>42</v>
        <stp/>
        <stp>*H</stp>
        <stp>C 26NP300000-ICE</stp>
        <stp>Last</stp>
        <stp>D</stp>
        <stp>03/10/2025 00:00:00</stp>
        <stp/>
        <stp/>
        <stp>-1</stp>
        <tr r="B30" s="2"/>
      </tp>
      <tp>
        <v>28</v>
        <stp/>
        <stp>*H</stp>
        <stp>C 26UP300000-ICE</stp>
        <stp>Last</stp>
        <stp>D</stp>
        <stp>03/09/2025 00:00:00</stp>
        <stp/>
        <stp/>
        <stp>-1</stp>
        <tr r="B52" s="1"/>
      </tp>
      <tp>
        <v>20</v>
        <stp/>
        <stp>*H</stp>
        <stp>C 26UP300000-ICE</stp>
        <stp>Last</stp>
        <stp>D</stp>
        <stp>13/08/2025 00:00:00</stp>
        <stp/>
        <stp/>
        <stp>-1</stp>
        <tr r="B65" s="1"/>
      </tp>
      <tp>
        <v>19</v>
        <stp/>
        <stp>*H</stp>
        <stp>C 26UP300000-ICE</stp>
        <stp>Last</stp>
        <stp>D</stp>
        <stp>23/09/2025 00:00:00</stp>
        <stp/>
        <stp/>
        <stp>-1</stp>
        <tr r="B38" s="1"/>
      </tp>
      <tp>
        <v>18</v>
        <stp/>
        <stp>*H</stp>
        <stp>C 26UP300000-ICE</stp>
        <stp>Last</stp>
        <stp>D</stp>
        <stp>23/07/2025 00:00:00</stp>
        <stp/>
        <stp/>
        <stp>-1</stp>
        <tr r="B80" s="1"/>
      </tp>
      <tp>
        <v>13</v>
        <stp/>
        <stp>*H</stp>
        <stp>C 26NP300000-ICE</stp>
        <stp>Last</stp>
        <stp>D</stp>
        <stp>23/07/2025 00:00:00</stp>
        <stp/>
        <stp/>
        <stp>-1</stp>
        <tr r="B80" s="2"/>
      </tp>
      <tp>
        <v>19</v>
        <stp/>
        <stp>*H</stp>
        <stp>C 26NP300000-ICE</stp>
        <stp>Last</stp>
        <stp>D</stp>
        <stp>23/09/2025 00:00:00</stp>
        <stp/>
        <stp/>
        <stp>-1</stp>
        <tr r="B38" s="2"/>
      </tp>
      <tp>
        <v>33</v>
        <stp/>
        <stp>*H</stp>
        <stp>C 26NP300000-ICE</stp>
        <stp>Last</stp>
        <stp>D</stp>
        <stp>03/09/2025 00:00:00</stp>
        <stp/>
        <stp/>
        <stp>-1</stp>
        <tr r="B52" s="2"/>
      </tp>
      <tp>
        <v>30</v>
        <stp/>
        <stp>*H</stp>
        <stp>C 26NP300000-ICE</stp>
        <stp>Last</stp>
        <stp>D</stp>
        <stp>13/08/2025 00:00:00</stp>
        <stp/>
        <stp/>
        <stp>-1</stp>
        <tr r="B65" s="2"/>
      </tp>
    </main>
    <main first="ixl">
      <tp>
        <v>4218</v>
        <stp/>
        <stp>*H</stp>
        <stp>C 26U-ICE</stp>
        <stp>Last</stp>
        <stp>D</stp>
        <stp>28/10/2025 00:00:00</stp>
        <stp/>
        <stp/>
        <stp>-1</stp>
        <tr r="E13" s="1"/>
      </tp>
      <tp>
        <v>4220</v>
        <stp/>
        <stp>*H</stp>
        <stp>C 26U-ICE</stp>
        <stp>Last</stp>
        <stp>D</stp>
        <stp>08/10/2025 00:00:00</stp>
        <stp/>
        <stp/>
        <stp>-1</stp>
        <tr r="E27" s="1"/>
      </tp>
      <tp>
        <v>4792</v>
        <stp/>
        <stp>*H</stp>
        <stp>C 26U-ICE</stp>
        <stp>Last</stp>
        <stp>D</stp>
        <stp>18/07/2025 00:00:00</stp>
        <stp/>
        <stp/>
        <stp>-1</stp>
        <tr r="E83" s="1"/>
      </tp>
      <tp>
        <v>5035</v>
        <stp/>
        <stp>*H</stp>
        <stp>C 26U-ICE</stp>
        <stp>Last</stp>
        <stp>D</stp>
        <stp>28/07/2025 00:00:00</stp>
        <stp/>
        <stp/>
        <stp>-1</stp>
        <tr r="E77" s="1"/>
      </tp>
      <tp>
        <v>5083</v>
        <stp/>
        <stp>*H</stp>
        <stp>C 26U-ICE</stp>
        <stp>Last</stp>
        <stp>D</stp>
        <stp>28/08/2025 00:00:00</stp>
        <stp/>
        <stp/>
        <stp>-1</stp>
        <tr r="E56" s="1"/>
      </tp>
      <tp>
        <v>4862</v>
        <stp/>
        <stp>*H</stp>
        <stp>C 26U-ICE</stp>
        <stp>Last</stp>
        <stp>D</stp>
        <stp>08/09/2025 00:00:00</stp>
        <stp/>
        <stp/>
        <stp>-1</stp>
        <tr r="E49" s="1"/>
      </tp>
      <tp>
        <v>5254</v>
        <stp/>
        <stp>*H</stp>
        <stp>C 26U-ICE</stp>
        <stp>Last</stp>
        <stp>D</stp>
        <stp>18/08/2025 00:00:00</stp>
        <stp/>
        <stp/>
        <stp>-1</stp>
        <tr r="E62" s="1"/>
      </tp>
      <tp>
        <v>5115</v>
        <stp/>
        <stp>*H</stp>
        <stp>C 26U-ICE</stp>
        <stp>Last</stp>
        <stp>D</stp>
        <stp>08/08/2025 00:00:00</stp>
        <stp/>
        <stp/>
        <stp>-1</stp>
        <tr r="E68" s="1"/>
      </tp>
      <tp>
        <v>4891</v>
        <stp/>
        <stp>*H</stp>
        <stp>C 26U-ICE</stp>
        <stp>Last</stp>
        <stp>D</stp>
        <stp>18/09/2025 00:00:00</stp>
        <stp/>
        <stp/>
        <stp>-1</stp>
        <tr r="E41" s="1"/>
      </tp>
      <tp>
        <v>4846</v>
        <stp/>
        <stp>*H</stp>
        <stp>C 26N-ICE</stp>
        <stp>Last</stp>
        <stp>D</stp>
        <stp>18/07/2025 00:00:00</stp>
        <stp/>
        <stp/>
        <stp>-1</stp>
        <tr r="E83" s="2"/>
      </tp>
      <tp>
        <v>5117</v>
        <stp/>
        <stp>*H</stp>
        <stp>C 26N-ICE</stp>
        <stp>Last</stp>
        <stp>D</stp>
        <stp>28/07/2025 00:00:00</stp>
        <stp/>
        <stp/>
        <stp>-1</stp>
        <tr r="E77" s="2"/>
      </tp>
      <tp>
        <v>5149</v>
        <stp/>
        <stp>*H</stp>
        <stp>C 26N-ICE</stp>
        <stp>Last</stp>
        <stp>D</stp>
        <stp>28/08/2025 00:00:00</stp>
        <stp/>
        <stp/>
        <stp>-1</stp>
        <tr r="E56" s="2"/>
      </tp>
      <tp>
        <v>4913</v>
        <stp/>
        <stp>*H</stp>
        <stp>C 26N-ICE</stp>
        <stp>Last</stp>
        <stp>D</stp>
        <stp>08/09/2025 00:00:00</stp>
        <stp/>
        <stp/>
        <stp>-1</stp>
        <tr r="E49" s="2"/>
      </tp>
      <tp>
        <v>5322</v>
        <stp/>
        <stp>*H</stp>
        <stp>C 26N-ICE</stp>
        <stp>Last</stp>
        <stp>D</stp>
        <stp>18/08/2025 00:00:00</stp>
        <stp/>
        <stp/>
        <stp>-1</stp>
        <tr r="E62" s="2"/>
      </tp>
      <tp>
        <v>5177</v>
        <stp/>
        <stp>*H</stp>
        <stp>C 26N-ICE</stp>
        <stp>Last</stp>
        <stp>D</stp>
        <stp>08/08/2025 00:00:00</stp>
        <stp/>
        <stp/>
        <stp>-1</stp>
        <tr r="E68" s="2"/>
      </tp>
      <tp>
        <v>4944</v>
        <stp/>
        <stp>*H</stp>
        <stp>C 26N-ICE</stp>
        <stp>Last</stp>
        <stp>D</stp>
        <stp>18/09/2025 00:00:00</stp>
        <stp/>
        <stp/>
        <stp>-1</stp>
        <tr r="E41" s="2"/>
      </tp>
      <tp>
        <v>4254</v>
        <stp/>
        <stp>*H</stp>
        <stp>C 26N-ICE</stp>
        <stp>Last</stp>
        <stp>D</stp>
        <stp>28/10/2025 00:00:00</stp>
        <stp/>
        <stp/>
        <stp>-1</stp>
        <tr r="E13" s="2"/>
      </tp>
      <tp>
        <v>4214</v>
        <stp/>
        <stp>*H</stp>
        <stp>C 26N-ICE</stp>
        <stp>Last</stp>
        <stp>D</stp>
        <stp>08/10/2025 00:00:00</stp>
        <stp/>
        <stp/>
        <stp>-1</stp>
        <tr r="E27" s="2"/>
      </tp>
      <tp>
        <v>250</v>
        <stp/>
        <stp>*H</stp>
        <stp>C 26UP300000-ICE</stp>
        <stp>Open Interest</stp>
        <stp>D</stp>
        <stp>06/08/2025 00:00:00</stp>
        <stp/>
        <stp/>
        <stp>-1</stp>
        <tr r="D70" s="1"/>
      </tp>
      <tp>
        <v>250</v>
        <stp/>
        <stp>*H</stp>
        <stp>C 26UP300000-ICE</stp>
        <stp>Open Interest</stp>
        <stp>D</stp>
        <stp>16/09/2025 00:00:00</stp>
        <stp/>
        <stp/>
        <stp>-1</stp>
        <tr r="D43" s="1"/>
      </tp>
      <tp>
        <v>250</v>
        <stp/>
        <stp>*H</stp>
        <stp>C 26UP300000-ICE</stp>
        <stp>Open Interest</stp>
        <stp>D</stp>
        <stp>26/09/2025 00:00:00</stp>
        <stp/>
        <stp/>
        <stp>-1</stp>
        <tr r="D35" s="1"/>
      </tp>
      <tp>
        <v>0</v>
        <stp/>
        <stp>*H</stp>
        <stp>C 26UP300000-ICE</stp>
        <stp>Open Interest</stp>
        <stp>D</stp>
        <stp>16/07/2025 00:00:00</stp>
        <stp/>
        <stp/>
        <stp>-1</stp>
        <tr r="D85" s="1"/>
      </tp>
      <tp>
        <v>250</v>
        <stp/>
        <stp>*H</stp>
        <stp>C 26UP300000-ICE</stp>
        <stp>Open Interest</stp>
        <stp>D</stp>
        <stp>06/11/2025 00:00:00</stp>
        <stp/>
        <stp/>
        <stp>-1</stp>
        <tr r="D6" s="1"/>
      </tp>
      <tp>
        <v>250</v>
        <stp/>
        <stp>*H</stp>
        <stp>C 26UP300000-ICE</stp>
        <stp>Open Interest</stp>
        <stp>D</stp>
        <stp>16/10/2025 00:00:00</stp>
        <stp/>
        <stp/>
        <stp>-1</stp>
        <tr r="D21" s="1"/>
      </tp>
      <tp>
        <v>250</v>
        <stp/>
        <stp>*H</stp>
        <stp>C 26UP300000-ICE</stp>
        <stp>Open Interest</stp>
        <stp>D</stp>
        <stp>06/10/2025 00:00:00</stp>
        <stp/>
        <stp/>
        <stp>-1</stp>
        <tr r="D29" s="1"/>
      </tp>
      <tp>
        <v>300</v>
        <stp/>
        <stp>*H</stp>
        <stp>C 26NP300000-ICE</stp>
        <stp>Open Interest</stp>
        <stp>D</stp>
        <stp>06/11/2025 00:00:00</stp>
        <stp/>
        <stp/>
        <stp>-1</stp>
        <tr r="D6" s="2"/>
      </tp>
      <tp>
        <v>300</v>
        <stp/>
        <stp>*H</stp>
        <stp>C 26NP300000-ICE</stp>
        <stp>Open Interest</stp>
        <stp>D</stp>
        <stp>16/10/2025 00:00:00</stp>
        <stp/>
        <stp/>
        <stp>-1</stp>
        <tr r="D21" s="2"/>
      </tp>
      <tp>
        <v>300</v>
        <stp/>
        <stp>*H</stp>
        <stp>C 26NP300000-ICE</stp>
        <stp>Open Interest</stp>
        <stp>D</stp>
        <stp>06/10/2025 00:00:00</stp>
        <stp/>
        <stp/>
        <stp>-1</stp>
        <tr r="D29" s="2"/>
      </tp>
      <tp>
        <v>0</v>
        <stp/>
        <stp>*H</stp>
        <stp>C 26NP300000-ICE</stp>
        <stp>Open Interest</stp>
        <stp>D</stp>
        <stp>06/08/2025 00:00:00</stp>
        <stp/>
        <stp/>
        <stp>-1</stp>
        <tr r="D70" s="2"/>
      </tp>
      <tp>
        <v>250</v>
        <stp/>
        <stp>*H</stp>
        <stp>C 26NP300000-ICE</stp>
        <stp>Open Interest</stp>
        <stp>D</stp>
        <stp>16/09/2025 00:00:00</stp>
        <stp/>
        <stp/>
        <stp>-1</stp>
        <tr r="D43" s="2"/>
      </tp>
      <tp>
        <v>250</v>
        <stp/>
        <stp>*H</stp>
        <stp>C 26NP300000-ICE</stp>
        <stp>Open Interest</stp>
        <stp>D</stp>
        <stp>26/09/2025 00:00:00</stp>
        <stp/>
        <stp/>
        <stp>-1</stp>
        <tr r="D35" s="2"/>
      </tp>
      <tp>
        <v>0</v>
        <stp/>
        <stp>*H</stp>
        <stp>C 26NP300000-ICE</stp>
        <stp>Open Interest</stp>
        <stp>D</stp>
        <stp>16/07/2025 00:00:00</stp>
        <stp/>
        <stp/>
        <stp>-1</stp>
        <tr r="D85" s="2"/>
      </tp>
    </main>
    <main first="ixl">
      <tp>
        <v>4295</v>
        <stp/>
        <stp>*H</stp>
        <stp>C 26U-ICE</stp>
        <stp>Last</stp>
        <stp>D</stp>
        <stp>29/10/2025 00:00:00</stp>
        <stp/>
        <stp/>
        <stp>-1</stp>
        <tr r="E12" s="1"/>
      </tp>
      <tp>
        <v>4236</v>
        <stp/>
        <stp>*H</stp>
        <stp>C 26U-ICE</stp>
        <stp>Last</stp>
        <stp>D</stp>
        <stp>09/10/2025 00:00:00</stp>
        <stp/>
        <stp/>
        <stp>-1</stp>
        <tr r="E26" s="1"/>
      </tp>
      <tp>
        <v>4993</v>
        <stp/>
        <stp>*H</stp>
        <stp>C 26U-ICE</stp>
        <stp>Last</stp>
        <stp>D</stp>
        <stp>29/07/2025 00:00:00</stp>
        <stp/>
        <stp/>
        <stp>-1</stp>
        <tr r="E76" s="1"/>
      </tp>
      <tp>
        <v>4825</v>
        <stp/>
        <stp>*H</stp>
        <stp>C 26U-ICE</stp>
        <stp>Last</stp>
        <stp>D</stp>
        <stp>29/09/2025 00:00:00</stp>
        <stp/>
        <stp/>
        <stp>-1</stp>
        <tr r="E34" s="1"/>
      </tp>
      <tp>
        <v>5063</v>
        <stp/>
        <stp>*H</stp>
        <stp>C 26U-ICE</stp>
        <stp>Last</stp>
        <stp>D</stp>
        <stp>29/08/2025 00:00:00</stp>
        <stp/>
        <stp/>
        <stp>-1</stp>
        <tr r="E55" s="1"/>
      </tp>
      <tp>
        <v>4919</v>
        <stp/>
        <stp>*H</stp>
        <stp>C 26U-ICE</stp>
        <stp>Last</stp>
        <stp>D</stp>
        <stp>09/09/2025 00:00:00</stp>
        <stp/>
        <stp/>
        <stp>-1</stp>
        <tr r="E48" s="1"/>
      </tp>
      <tp>
        <v>5274</v>
        <stp/>
        <stp>*H</stp>
        <stp>C 26U-ICE</stp>
        <stp>Last</stp>
        <stp>D</stp>
        <stp>19/08/2025 00:00:00</stp>
        <stp/>
        <stp/>
        <stp>-1</stp>
        <tr r="E61" s="1"/>
      </tp>
      <tp>
        <v>4932</v>
        <stp/>
        <stp>*H</stp>
        <stp>C 26U-ICE</stp>
        <stp>Last</stp>
        <stp>D</stp>
        <stp>19/09/2025 00:00:00</stp>
        <stp/>
        <stp/>
        <stp>-1</stp>
        <tr r="E40" s="1"/>
      </tp>
      <tp>
        <v>5070</v>
        <stp/>
        <stp>*H</stp>
        <stp>C 26N-ICE</stp>
        <stp>Last</stp>
        <stp>D</stp>
        <stp>29/07/2025 00:00:00</stp>
        <stp/>
        <stp/>
        <stp>-1</stp>
        <tr r="E76" s="2"/>
      </tp>
      <tp>
        <v>4850</v>
        <stp/>
        <stp>*H</stp>
        <stp>C 26N-ICE</stp>
        <stp>Last</stp>
        <stp>D</stp>
        <stp>29/09/2025 00:00:00</stp>
        <stp/>
        <stp/>
        <stp>-1</stp>
        <tr r="E34" s="2"/>
      </tp>
      <tp>
        <v>5127</v>
        <stp/>
        <stp>*H</stp>
        <stp>C 26N-ICE</stp>
        <stp>Last</stp>
        <stp>D</stp>
        <stp>29/08/2025 00:00:00</stp>
        <stp/>
        <stp/>
        <stp>-1</stp>
        <tr r="E55" s="2"/>
      </tp>
      <tp>
        <v>4971</v>
        <stp/>
        <stp>*H</stp>
        <stp>C 26N-ICE</stp>
        <stp>Last</stp>
        <stp>D</stp>
        <stp>09/09/2025 00:00:00</stp>
        <stp/>
        <stp/>
        <stp>-1</stp>
        <tr r="E48" s="2"/>
      </tp>
      <tp>
        <v>5340</v>
        <stp/>
        <stp>*H</stp>
        <stp>C 26N-ICE</stp>
        <stp>Last</stp>
        <stp>D</stp>
        <stp>19/08/2025 00:00:00</stp>
        <stp/>
        <stp/>
        <stp>-1</stp>
        <tr r="E61" s="2"/>
      </tp>
      <tp>
        <v>4982</v>
        <stp/>
        <stp>*H</stp>
        <stp>C 26N-ICE</stp>
        <stp>Last</stp>
        <stp>D</stp>
        <stp>19/09/2025 00:00:00</stp>
        <stp/>
        <stp/>
        <stp>-1</stp>
        <tr r="E40" s="2"/>
      </tp>
      <tp>
        <v>4326</v>
        <stp/>
        <stp>*H</stp>
        <stp>C 26N-ICE</stp>
        <stp>Last</stp>
        <stp>D</stp>
        <stp>29/10/2025 00:00:00</stp>
        <stp/>
        <stp/>
        <stp>-1</stp>
        <tr r="E12" s="2"/>
      </tp>
      <tp>
        <v>4234</v>
        <stp/>
        <stp>*H</stp>
        <stp>C 26N-ICE</stp>
        <stp>Last</stp>
        <stp>D</stp>
        <stp>09/10/2025 00:00:00</stp>
        <stp/>
        <stp/>
        <stp>-1</stp>
        <tr r="E26" s="2"/>
      </tp>
      <tp>
        <v>250</v>
        <stp/>
        <stp>*H</stp>
        <stp>C 26UP300000-ICE</stp>
        <stp>Open Interest</stp>
        <stp>D</stp>
        <stp>07/08/2025 00:00:00</stp>
        <stp/>
        <stp/>
        <stp>-1</stp>
        <tr r="D69" s="1"/>
      </tp>
      <tp>
        <v>250</v>
        <stp/>
        <stp>*H</stp>
        <stp>C 26UP300000-ICE</stp>
        <stp>Open Interest</stp>
        <stp>D</stp>
        <stp>17/09/2025 00:00:00</stp>
        <stp/>
        <stp/>
        <stp>-1</stp>
        <tr r="D42" s="1"/>
      </tp>
      <tp>
        <v>250</v>
        <stp/>
        <stp>*H</stp>
        <stp>C 26UP300000-ICE</stp>
        <stp>Open Interest</stp>
        <stp>D</stp>
        <stp>27/08/2025 00:00:00</stp>
        <stp/>
        <stp/>
        <stp>-1</stp>
        <tr r="D57" s="1"/>
      </tp>
      <tp>
        <v>0</v>
        <stp/>
        <stp>*H</stp>
        <stp>C 26UP300000-ICE</stp>
        <stp>Open Interest</stp>
        <stp>D</stp>
        <stp>17/07/2025 00:00:00</stp>
        <stp/>
        <stp/>
        <stp>-1</stp>
        <tr r="D84" s="1"/>
      </tp>
      <tp>
        <v>250</v>
        <stp/>
        <stp>*H</stp>
        <stp>C 26UP300000-ICE</stp>
        <stp>Open Interest</stp>
        <stp>D</stp>
        <stp>07/11/2025 00:00:00</stp>
        <stp/>
        <stp/>
        <stp>-1</stp>
        <tr r="D5" s="1"/>
      </tp>
      <tp>
        <v>250</v>
        <stp/>
        <stp>*H</stp>
        <stp>C 26UP300000-ICE</stp>
        <stp>Open Interest</stp>
        <stp>D</stp>
        <stp>17/10/2025 00:00:00</stp>
        <stp/>
        <stp/>
        <stp>-1</stp>
        <tr r="D20" s="1"/>
      </tp>
      <tp>
        <v>250</v>
        <stp/>
        <stp>*H</stp>
        <stp>C 26UP300000-ICE</stp>
        <stp>Open Interest</stp>
        <stp>D</stp>
        <stp>07/10/2025 00:00:00</stp>
        <stp/>
        <stp/>
        <stp>-1</stp>
        <tr r="D28" s="1"/>
      </tp>
      <tp>
        <v>250</v>
        <stp/>
        <stp>*H</stp>
        <stp>C 26UP300000-ICE</stp>
        <stp>Open Interest</stp>
        <stp>D</stp>
        <stp>27/10/2025 00:00:00</stp>
        <stp/>
        <stp/>
        <stp>-1</stp>
        <tr r="D14" s="1"/>
      </tp>
      <tp>
        <v>300</v>
        <stp/>
        <stp>*H</stp>
        <stp>C 26NP300000-ICE</stp>
        <stp>Open Interest</stp>
        <stp>D</stp>
        <stp>07/11/2025 00:00:00</stp>
        <stp/>
        <stp/>
        <stp>-1</stp>
        <tr r="D5" s="2"/>
      </tp>
      <tp>
        <v>300</v>
        <stp/>
        <stp>*H</stp>
        <stp>C 26NP300000-ICE</stp>
        <stp>Open Interest</stp>
        <stp>D</stp>
        <stp>17/10/2025 00:00:00</stp>
        <stp/>
        <stp/>
        <stp>-1</stp>
        <tr r="D20" s="2"/>
      </tp>
      <tp>
        <v>300</v>
        <stp/>
        <stp>*H</stp>
        <stp>C 26NP300000-ICE</stp>
        <stp>Open Interest</stp>
        <stp>D</stp>
        <stp>07/10/2025 00:00:00</stp>
        <stp/>
        <stp/>
        <stp>-1</stp>
        <tr r="D28" s="2"/>
      </tp>
      <tp>
        <v>300</v>
        <stp/>
        <stp>*H</stp>
        <stp>C 26NP300000-ICE</stp>
        <stp>Open Interest</stp>
        <stp>D</stp>
        <stp>27/10/2025 00:00:00</stp>
        <stp/>
        <stp/>
        <stp>-1</stp>
        <tr r="D14" s="2"/>
      </tp>
      <tp>
        <v>250</v>
        <stp/>
        <stp>*H</stp>
        <stp>C 26NP300000-ICE</stp>
        <stp>Open Interest</stp>
        <stp>D</stp>
        <stp>07/08/2025 00:00:00</stp>
        <stp/>
        <stp/>
        <stp>-1</stp>
        <tr r="D69" s="2"/>
      </tp>
      <tp>
        <v>250</v>
        <stp/>
        <stp>*H</stp>
        <stp>C 26NP300000-ICE</stp>
        <stp>Open Interest</stp>
        <stp>D</stp>
        <stp>17/09/2025 00:00:00</stp>
        <stp/>
        <stp/>
        <stp>-1</stp>
        <tr r="D42" s="2"/>
      </tp>
      <tp>
        <v>250</v>
        <stp/>
        <stp>*H</stp>
        <stp>C 26NP300000-ICE</stp>
        <stp>Open Interest</stp>
        <stp>D</stp>
        <stp>27/08/2025 00:00:00</stp>
        <stp/>
        <stp/>
        <stp>-1</stp>
        <tr r="D57" s="2"/>
      </tp>
      <tp>
        <v>0</v>
        <stp/>
        <stp>*H</stp>
        <stp>C 26NP300000-ICE</stp>
        <stp>Open Interest</stp>
        <stp>D</stp>
        <stp>17/07/2025 00:00:00</stp>
        <stp/>
        <stp/>
        <stp>-1</stp>
        <tr r="D84" s="2"/>
      </tp>
      <tp>
        <v>250</v>
        <stp/>
        <stp>*H</stp>
        <stp>C 26UP300000-ICE</stp>
        <stp>Open Interest</stp>
        <stp>D</stp>
        <stp>04/09/2025 00:00:00</stp>
        <stp/>
        <stp/>
        <stp>-1</stp>
        <tr r="D51" s="1"/>
      </tp>
      <tp>
        <v>250</v>
        <stp/>
        <stp>*H</stp>
        <stp>C 26UP300000-ICE</stp>
        <stp>Open Interest</stp>
        <stp>D</stp>
        <stp>14/08/2025 00:00:00</stp>
        <stp/>
        <stp/>
        <stp>-1</stp>
        <tr r="D64" s="1"/>
      </tp>
      <tp>
        <v>0</v>
        <stp/>
        <stp>*H</stp>
        <stp>C 26UP300000-ICE</stp>
        <stp>Open Interest</stp>
        <stp>D</stp>
        <stp>04/08/2025 00:00:00</stp>
        <stp/>
        <stp/>
        <stp>-1</stp>
        <tr r="D72" s="1"/>
      </tp>
      <tp>
        <v>250</v>
        <stp/>
        <stp>*H</stp>
        <stp>C 26UP300000-ICE</stp>
        <stp>Open Interest</stp>
        <stp>D</stp>
        <stp>24/09/2025 00:00:00</stp>
        <stp/>
        <stp/>
        <stp>-1</stp>
        <tr r="D37" s="1"/>
      </tp>
      <tp>
        <v>0</v>
        <stp/>
        <stp>*H</stp>
        <stp>C 26UP300000-ICE</stp>
        <stp>Open Interest</stp>
        <stp>D</stp>
        <stp>24/07/2025 00:00:00</stp>
        <stp/>
        <stp/>
        <stp>-1</stp>
        <tr r="D79" s="1"/>
      </tp>
      <tp>
        <v>0</v>
        <stp/>
        <stp>*H</stp>
        <stp>C 26UP300000-ICE</stp>
        <stp>Open Interest</stp>
        <stp>D</stp>
        <stp>14/07/2025 00:00:00</stp>
        <stp/>
        <stp/>
        <stp>-1</stp>
        <tr r="D87" s="1"/>
      </tp>
      <tp>
        <v>250</v>
        <stp/>
        <stp>*H</stp>
        <stp>C 26UP300000-ICE</stp>
        <stp>Open Interest</stp>
        <stp>D</stp>
        <stp>04/11/2025 00:00:00</stp>
        <stp/>
        <stp/>
        <stp>-1</stp>
        <tr r="D8" s="1"/>
      </tp>
      <tp>
        <v>250</v>
        <stp/>
        <stp>*H</stp>
        <stp>C 26UP300000-ICE</stp>
        <stp>Open Interest</stp>
        <stp>D</stp>
        <stp>14/10/2025 00:00:00</stp>
        <stp/>
        <stp/>
        <stp>-1</stp>
        <tr r="D23" s="1"/>
      </tp>
      <tp>
        <v>250</v>
        <stp/>
        <stp>*H</stp>
        <stp>C 26UP300000-ICE</stp>
        <stp>Open Interest</stp>
        <stp>D</stp>
        <stp>24/10/2025 00:00:00</stp>
        <stp/>
        <stp/>
        <stp>-1</stp>
        <tr r="D15" s="1"/>
      </tp>
      <tp>
        <v>300</v>
        <stp/>
        <stp>*H</stp>
        <stp>C 26NP300000-ICE</stp>
        <stp>Open Interest</stp>
        <stp>D</stp>
        <stp>04/11/2025 00:00:00</stp>
        <stp/>
        <stp/>
        <stp>-1</stp>
        <tr r="D8" s="2"/>
      </tp>
      <tp>
        <v>300</v>
        <stp/>
        <stp>*H</stp>
        <stp>C 26NP300000-ICE</stp>
        <stp>Open Interest</stp>
        <stp>D</stp>
        <stp>14/10/2025 00:00:00</stp>
        <stp/>
        <stp/>
        <stp>-1</stp>
        <tr r="D23" s="2"/>
      </tp>
      <tp>
        <v>300</v>
        <stp/>
        <stp>*H</stp>
        <stp>C 26NP300000-ICE</stp>
        <stp>Open Interest</stp>
        <stp>D</stp>
        <stp>24/10/2025 00:00:00</stp>
        <stp/>
        <stp/>
        <stp>-1</stp>
        <tr r="D15" s="2"/>
      </tp>
      <tp>
        <v>250</v>
        <stp/>
        <stp>*H</stp>
        <stp>C 26NP300000-ICE</stp>
        <stp>Open Interest</stp>
        <stp>D</stp>
        <stp>04/09/2025 00:00:00</stp>
        <stp/>
        <stp/>
        <stp>-1</stp>
        <tr r="D51" s="2"/>
      </tp>
      <tp>
        <v>250</v>
        <stp/>
        <stp>*H</stp>
        <stp>C 26NP300000-ICE</stp>
        <stp>Open Interest</stp>
        <stp>D</stp>
        <stp>14/08/2025 00:00:00</stp>
        <stp/>
        <stp/>
        <stp>-1</stp>
        <tr r="D64" s="2"/>
      </tp>
      <tp>
        <v>0</v>
        <stp/>
        <stp>*H</stp>
        <stp>C 26NP300000-ICE</stp>
        <stp>Open Interest</stp>
        <stp>D</stp>
        <stp>04/08/2025 00:00:00</stp>
        <stp/>
        <stp/>
        <stp>-1</stp>
        <tr r="D72" s="2"/>
      </tp>
      <tp>
        <v>250</v>
        <stp/>
        <stp>*H</stp>
        <stp>C 26NP300000-ICE</stp>
        <stp>Open Interest</stp>
        <stp>D</stp>
        <stp>24/09/2025 00:00:00</stp>
        <stp/>
        <stp/>
        <stp>-1</stp>
        <tr r="D37" s="2"/>
      </tp>
      <tp>
        <v>0</v>
        <stp/>
        <stp>*H</stp>
        <stp>C 26NP300000-ICE</stp>
        <stp>Open Interest</stp>
        <stp>D</stp>
        <stp>24/07/2025 00:00:00</stp>
        <stp/>
        <stp/>
        <stp>-1</stp>
        <tr r="D79" s="2"/>
      </tp>
      <tp>
        <v>0</v>
        <stp/>
        <stp>*H</stp>
        <stp>C 26NP300000-ICE</stp>
        <stp>Open Interest</stp>
        <stp>D</stp>
        <stp>14/07/2025 00:00:00</stp>
        <stp/>
        <stp/>
        <stp>-1</stp>
        <tr r="D87" s="2"/>
      </tp>
    </main>
    <main first="ixl">
      <tp>
        <v>250</v>
        <stp/>
        <stp>*H</stp>
        <stp>C 26UP300000-ICE</stp>
        <stp>Open Interest</stp>
        <stp>D</stp>
        <stp>05/09/2025 00:00:00</stp>
        <stp/>
        <stp/>
        <stp>-1</stp>
        <tr r="D50" s="1"/>
      </tp>
      <tp>
        <v>250</v>
        <stp/>
        <stp>*H</stp>
        <stp>C 26UP300000-ICE</stp>
        <stp>Open Interest</stp>
        <stp>D</stp>
        <stp>15/08/2025 00:00:00</stp>
        <stp/>
        <stp/>
        <stp>-1</stp>
        <tr r="D63" s="1"/>
      </tp>
      <tp>
        <v>0</v>
        <stp/>
        <stp>*H</stp>
        <stp>C 26UP300000-ICE</stp>
        <stp>Open Interest</stp>
        <stp>D</stp>
        <stp>05/08/2025 00:00:00</stp>
        <stp/>
        <stp/>
        <stp>-1</stp>
        <tr r="D71" s="1"/>
      </tp>
      <tp>
        <v>250</v>
        <stp/>
        <stp>*H</stp>
        <stp>C 26UP300000-ICE</stp>
        <stp>Open Interest</stp>
        <stp>D</stp>
        <stp>15/09/2025 00:00:00</stp>
        <stp/>
        <stp/>
        <stp>-1</stp>
        <tr r="D44" s="1"/>
      </tp>
      <tp>
        <v>250</v>
        <stp/>
        <stp>*H</stp>
        <stp>C 26UP300000-ICE</stp>
        <stp>Open Interest</stp>
        <stp>D</stp>
        <stp>25/09/2025 00:00:00</stp>
        <stp/>
        <stp/>
        <stp>-1</stp>
        <tr r="D36" s="1"/>
      </tp>
      <tp>
        <v>0</v>
        <stp/>
        <stp>*H</stp>
        <stp>C 26UP300000-ICE</stp>
        <stp>Open Interest</stp>
        <stp>D</stp>
        <stp>25/07/2025 00:00:00</stp>
        <stp/>
        <stp/>
        <stp>-1</stp>
        <tr r="D78" s="1"/>
      </tp>
      <tp>
        <v>0</v>
        <stp/>
        <stp>*H</stp>
        <stp>C 26UP300000-ICE</stp>
        <stp>Open Interest</stp>
        <stp>D</stp>
        <stp>15/07/2025 00:00:00</stp>
        <stp/>
        <stp/>
        <stp>-1</stp>
        <tr r="D86" s="1"/>
      </tp>
      <tp>
        <v>250</v>
        <stp/>
        <stp>*H</stp>
        <stp>C 26UP300000-ICE</stp>
        <stp>Open Interest</stp>
        <stp>D</stp>
        <stp>05/11/2025 00:00:00</stp>
        <stp/>
        <stp/>
        <stp>-1</stp>
        <tr r="D7" s="1"/>
      </tp>
      <tp>
        <v>250</v>
        <stp/>
        <stp>*H</stp>
        <stp>C 26UP300000-ICE</stp>
        <stp>Open Interest</stp>
        <stp>D</stp>
        <stp>15/10/2025 00:00:00</stp>
        <stp/>
        <stp/>
        <stp>-1</stp>
        <tr r="D22" s="1"/>
      </tp>
      <tp>
        <v>300</v>
        <stp/>
        <stp>*H</stp>
        <stp>C 26NP300000-ICE</stp>
        <stp>Open Interest</stp>
        <stp>D</stp>
        <stp>05/11/2025 00:00:00</stp>
        <stp/>
        <stp/>
        <stp>-1</stp>
        <tr r="D7" s="2"/>
      </tp>
      <tp>
        <v>300</v>
        <stp/>
        <stp>*H</stp>
        <stp>C 26NP300000-ICE</stp>
        <stp>Open Interest</stp>
        <stp>D</stp>
        <stp>15/10/2025 00:00:00</stp>
        <stp/>
        <stp/>
        <stp>-1</stp>
        <tr r="D22" s="2"/>
      </tp>
      <tp>
        <v>250</v>
        <stp/>
        <stp>*H</stp>
        <stp>C 26NP300000-ICE</stp>
        <stp>Open Interest</stp>
        <stp>D</stp>
        <stp>05/09/2025 00:00:00</stp>
        <stp/>
        <stp/>
        <stp>-1</stp>
        <tr r="D50" s="2"/>
      </tp>
      <tp>
        <v>250</v>
        <stp/>
        <stp>*H</stp>
        <stp>C 26NP300000-ICE</stp>
        <stp>Open Interest</stp>
        <stp>D</stp>
        <stp>15/08/2025 00:00:00</stp>
        <stp/>
        <stp/>
        <stp>-1</stp>
        <tr r="D63" s="2"/>
      </tp>
      <tp>
        <v>0</v>
        <stp/>
        <stp>*H</stp>
        <stp>C 26NP300000-ICE</stp>
        <stp>Open Interest</stp>
        <stp>D</stp>
        <stp>05/08/2025 00:00:00</stp>
        <stp/>
        <stp/>
        <stp>-1</stp>
        <tr r="D71" s="2"/>
      </tp>
      <tp>
        <v>250</v>
        <stp/>
        <stp>*H</stp>
        <stp>C 26NP300000-ICE</stp>
        <stp>Open Interest</stp>
        <stp>D</stp>
        <stp>15/09/2025 00:00:00</stp>
        <stp/>
        <stp/>
        <stp>-1</stp>
        <tr r="D44" s="2"/>
      </tp>
      <tp>
        <v>250</v>
        <stp/>
        <stp>*H</stp>
        <stp>C 26NP300000-ICE</stp>
        <stp>Open Interest</stp>
        <stp>D</stp>
        <stp>25/09/2025 00:00:00</stp>
        <stp/>
        <stp/>
        <stp>-1</stp>
        <tr r="D36" s="2"/>
      </tp>
      <tp>
        <v>0</v>
        <stp/>
        <stp>*H</stp>
        <stp>C 26NP300000-ICE</stp>
        <stp>Open Interest</stp>
        <stp>D</stp>
        <stp>25/07/2025 00:00:00</stp>
        <stp/>
        <stp/>
        <stp>-1</stp>
        <tr r="D78" s="2"/>
      </tp>
      <tp>
        <v>0</v>
        <stp/>
        <stp>*H</stp>
        <stp>C 26NP300000-ICE</stp>
        <stp>Open Interest</stp>
        <stp>D</stp>
        <stp>15/07/2025 00:00:00</stp>
        <stp/>
        <stp/>
        <stp>-1</stp>
        <tr r="D86" s="2"/>
      </tp>
    </main>
    <main first="ixl">
      <tp>
        <v>250</v>
        <stp/>
        <stp>*H</stp>
        <stp>C 26UP300000-ICE</stp>
        <stp>Open Interest</stp>
        <stp>D</stp>
        <stp>02/09/2025 00:00:00</stp>
        <stp/>
        <stp/>
        <stp>-1</stp>
        <tr r="D53" s="1"/>
      </tp>
      <tp>
        <v>250</v>
        <stp/>
        <stp>*H</stp>
        <stp>C 26UP300000-ICE</stp>
        <stp>Open Interest</stp>
        <stp>D</stp>
        <stp>12/08/2025 00:00:00</stp>
        <stp/>
        <stp/>
        <stp>-1</stp>
        <tr r="D66" s="1"/>
      </tp>
      <tp>
        <v>250</v>
        <stp/>
        <stp>*H</stp>
        <stp>C 26UP300000-ICE</stp>
        <stp>Open Interest</stp>
        <stp>D</stp>
        <stp>12/09/2025 00:00:00</stp>
        <stp/>
        <stp/>
        <stp>-1</stp>
        <tr r="D45" s="1"/>
      </tp>
      <tp>
        <v>250</v>
        <stp/>
        <stp>*H</stp>
        <stp>C 26UP300000-ICE</stp>
        <stp>Open Interest</stp>
        <stp>D</stp>
        <stp>22/09/2025 00:00:00</stp>
        <stp/>
        <stp/>
        <stp>-1</stp>
        <tr r="D39" s="1"/>
      </tp>
      <tp>
        <v>250</v>
        <stp/>
        <stp>*H</stp>
        <stp>C 26UP300000-ICE</stp>
        <stp>Open Interest</stp>
        <stp>D</stp>
        <stp>22/08/2025 00:00:00</stp>
        <stp/>
        <stp/>
        <stp>-1</stp>
        <tr r="D58" s="1"/>
      </tp>
      <tp>
        <v>0</v>
        <stp/>
        <stp>*H</stp>
        <stp>C 26UP300000-ICE</stp>
        <stp>Open Interest</stp>
        <stp>D</stp>
        <stp>22/07/2025 00:00:00</stp>
        <stp/>
        <stp/>
        <stp>-1</stp>
        <tr r="D81" s="1"/>
      </tp>
      <tp>
        <v>250</v>
        <stp/>
        <stp>*H</stp>
        <stp>C 26UP300000-ICE</stp>
        <stp>Open Interest</stp>
        <stp>D</stp>
        <stp>02/10/2025 00:00:00</stp>
        <stp/>
        <stp/>
        <stp>-1</stp>
        <tr r="D31" s="1"/>
      </tp>
      <tp>
        <v>250</v>
        <stp/>
        <stp>*H</stp>
        <stp>C 26UP300000-ICE</stp>
        <stp>Open Interest</stp>
        <stp>D</stp>
        <stp>12/11/2025 00:00:00</stp>
        <stp/>
        <stp/>
        <stp>-1</stp>
        <tr r="D2" s="1"/>
      </tp>
      <tp>
        <v>250</v>
        <stp/>
        <stp>*H</stp>
        <stp>C 26UP300000-ICE</stp>
        <stp>Open Interest</stp>
        <stp>D</stp>
        <stp>22/10/2025 00:00:00</stp>
        <stp/>
        <stp/>
        <stp>-1</stp>
        <tr r="D17" s="1"/>
      </tp>
    </main>
    <main first="ixl">
      <tp>
        <v>300</v>
        <stp/>
        <stp>*H</stp>
        <stp>C 26NP300000-ICE</stp>
        <stp>Open Interest</stp>
        <stp>D</stp>
        <stp>02/10/2025 00:00:00</stp>
        <stp/>
        <stp/>
        <stp>-1</stp>
        <tr r="D31" s="2"/>
      </tp>
      <tp>
        <v>300</v>
        <stp/>
        <stp>*H</stp>
        <stp>C 26NP300000-ICE</stp>
        <stp>Open Interest</stp>
        <stp>D</stp>
        <stp>12/11/2025 00:00:00</stp>
        <stp/>
        <stp/>
        <stp>-1</stp>
        <tr r="D2" s="2"/>
      </tp>
      <tp>
        <v>300</v>
        <stp/>
        <stp>*H</stp>
        <stp>C 26NP300000-ICE</stp>
        <stp>Open Interest</stp>
        <stp>D</stp>
        <stp>22/10/2025 00:00:00</stp>
        <stp/>
        <stp/>
        <stp>-1</stp>
        <tr r="D17" s="2"/>
      </tp>
      <tp>
        <v>250</v>
        <stp/>
        <stp>*H</stp>
        <stp>C 26NP300000-ICE</stp>
        <stp>Open Interest</stp>
        <stp>D</stp>
        <stp>02/09/2025 00:00:00</stp>
        <stp/>
        <stp/>
        <stp>-1</stp>
        <tr r="D53" s="2"/>
      </tp>
      <tp>
        <v>250</v>
        <stp/>
        <stp>*H</stp>
        <stp>C 26NP300000-ICE</stp>
        <stp>Open Interest</stp>
        <stp>D</stp>
        <stp>12/08/2025 00:00:00</stp>
        <stp/>
        <stp/>
        <stp>-1</stp>
        <tr r="D66" s="2"/>
      </tp>
      <tp>
        <v>250</v>
        <stp/>
        <stp>*H</stp>
        <stp>C 26NP300000-ICE</stp>
        <stp>Open Interest</stp>
        <stp>D</stp>
        <stp>12/09/2025 00:00:00</stp>
        <stp/>
        <stp/>
        <stp>-1</stp>
        <tr r="D45" s="2"/>
      </tp>
      <tp>
        <v>250</v>
        <stp/>
        <stp>*H</stp>
        <stp>C 26NP300000-ICE</stp>
        <stp>Open Interest</stp>
        <stp>D</stp>
        <stp>22/09/2025 00:00:00</stp>
        <stp/>
        <stp/>
        <stp>-1</stp>
        <tr r="D39" s="2"/>
      </tp>
      <tp>
        <v>250</v>
        <stp/>
        <stp>*H</stp>
        <stp>C 26NP300000-ICE</stp>
        <stp>Open Interest</stp>
        <stp>D</stp>
        <stp>22/08/2025 00:00:00</stp>
        <stp/>
        <stp/>
        <stp>-1</stp>
        <tr r="D58" s="2"/>
      </tp>
      <tp>
        <v>0</v>
        <stp/>
        <stp>*H</stp>
        <stp>C 26NP300000-ICE</stp>
        <stp>Open Interest</stp>
        <stp>D</stp>
        <stp>22/07/2025 00:00:00</stp>
        <stp/>
        <stp/>
        <stp>-1</stp>
        <tr r="D81" s="2"/>
      </tp>
    </main>
    <main first="ixl">
      <tp>
        <v>54</v>
        <stp/>
        <stp>*H</stp>
        <stp>C 26UP300000-ICE</stp>
        <stp>Last</stp>
        <stp>D</stp>
        <stp>08/10/2025 00:00:00</stp>
        <stp/>
        <stp/>
        <stp>-1</stp>
        <tr r="B27" s="1"/>
      </tp>
      <tp>
        <v>37</v>
        <stp/>
        <stp>*H</stp>
        <stp>C 26UP300000-ICE</stp>
        <stp>Last</stp>
        <stp>D</stp>
        <stp>28/10/2025 00:00:00</stp>
        <stp/>
        <stp/>
        <stp>-1</stp>
        <tr r="B13" s="1"/>
      </tp>
      <tp>
        <v>42</v>
        <stp/>
        <stp>*H</stp>
        <stp>C 26NP300000-ICE</stp>
        <stp>Last</stp>
        <stp>D</stp>
        <stp>28/10/2025 00:00:00</stp>
        <stp/>
        <stp/>
        <stp>-1</stp>
        <tr r="B13" s="2"/>
      </tp>
      <tp>
        <v>55</v>
        <stp/>
        <stp>*H</stp>
        <stp>C 26NP300000-ICE</stp>
        <stp>Last</stp>
        <stp>D</stp>
        <stp>08/10/2025 00:00:00</stp>
        <stp/>
        <stp/>
        <stp>-1</stp>
        <tr r="B27" s="2"/>
      </tp>
      <tp>
        <v>27</v>
        <stp/>
        <stp>*H</stp>
        <stp>C 26UP300000-ICE</stp>
        <stp>Last</stp>
        <stp>D</stp>
        <stp>08/08/2025 00:00:00</stp>
        <stp/>
        <stp/>
        <stp>-1</stp>
        <tr r="B68" s="1"/>
      </tp>
      <tp>
        <v>16</v>
        <stp/>
        <stp>*H</stp>
        <stp>C 26UP300000-ICE</stp>
        <stp>Last</stp>
        <stp>D</stp>
        <stp>18/09/2025 00:00:00</stp>
        <stp/>
        <stp/>
        <stp>-1</stp>
        <tr r="B41" s="1"/>
      </tp>
      <tp>
        <v>36</v>
        <stp/>
        <stp>*H</stp>
        <stp>C 26UP300000-ICE</stp>
        <stp>Last</stp>
        <stp>D</stp>
        <stp>08/09/2025 00:00:00</stp>
        <stp/>
        <stp/>
        <stp>-1</stp>
        <tr r="B49" s="1"/>
      </tp>
      <tp>
        <v>21</v>
        <stp/>
        <stp>*H</stp>
        <stp>C 26UP300000-ICE</stp>
        <stp>Last</stp>
        <stp>D</stp>
        <stp>18/08/2025 00:00:00</stp>
        <stp/>
        <stp/>
        <stp>-1</stp>
        <tr r="B62" s="1"/>
      </tp>
      <tp>
        <v>26</v>
        <stp/>
        <stp>*H</stp>
        <stp>C 26UP300000-ICE</stp>
        <stp>Last</stp>
        <stp>D</stp>
        <stp>28/08/2025 00:00:00</stp>
        <stp/>
        <stp/>
        <stp>-1</stp>
        <tr r="B56" s="1"/>
      </tp>
      <tp>
        <v>22</v>
        <stp/>
        <stp>*H</stp>
        <stp>C 26UP300000-ICE</stp>
        <stp>Last</stp>
        <stp>D</stp>
        <stp>28/07/2025 00:00:00</stp>
        <stp/>
        <stp/>
        <stp>-1</stp>
        <tr r="B77" s="1"/>
      </tp>
      <tp>
        <v>28</v>
        <stp/>
        <stp>*H</stp>
        <stp>C 26UP300000-ICE</stp>
        <stp>Last</stp>
        <stp>D</stp>
        <stp>18/07/2025 00:00:00</stp>
        <stp/>
        <stp/>
        <stp>-1</stp>
        <tr r="B83" s="1"/>
      </tp>
      <tp>
        <v>19</v>
        <stp/>
        <stp>*H</stp>
        <stp>C 26NP300000-ICE</stp>
        <stp>Last</stp>
        <stp>D</stp>
        <stp>18/07/2025 00:00:00</stp>
        <stp/>
        <stp/>
        <stp>-1</stp>
        <tr r="B83" s="2"/>
      </tp>
      <tp>
        <v>28</v>
        <stp/>
        <stp>*H</stp>
        <stp>C 26NP300000-ICE</stp>
        <stp>Last</stp>
        <stp>D</stp>
        <stp>28/07/2025 00:00:00</stp>
        <stp/>
        <stp/>
        <stp>-1</stp>
        <tr r="B77" s="2"/>
      </tp>
      <tp>
        <v>32</v>
        <stp/>
        <stp>*H</stp>
        <stp>C 26NP300000-ICE</stp>
        <stp>Last</stp>
        <stp>D</stp>
        <stp>28/08/2025 00:00:00</stp>
        <stp/>
        <stp/>
        <stp>-1</stp>
        <tr r="B56" s="2"/>
      </tp>
      <tp>
        <v>41</v>
        <stp/>
        <stp>*H</stp>
        <stp>C 26NP300000-ICE</stp>
        <stp>Last</stp>
        <stp>D</stp>
        <stp>08/09/2025 00:00:00</stp>
        <stp/>
        <stp/>
        <stp>-1</stp>
        <tr r="B49" s="2"/>
      </tp>
      <tp>
        <v>25</v>
        <stp/>
        <stp>*H</stp>
        <stp>C 26NP300000-ICE</stp>
        <stp>Last</stp>
        <stp>D</stp>
        <stp>18/08/2025 00:00:00</stp>
        <stp/>
        <stp/>
        <stp>-1</stp>
        <tr r="B62" s="2"/>
      </tp>
      <tp>
        <v>36</v>
        <stp/>
        <stp>*H</stp>
        <stp>C 26NP300000-ICE</stp>
        <stp>Last</stp>
        <stp>D</stp>
        <stp>08/08/2025 00:00:00</stp>
        <stp/>
        <stp/>
        <stp>-1</stp>
        <tr r="B68" s="2"/>
      </tp>
      <tp>
        <v>17</v>
        <stp/>
        <stp>*H</stp>
        <stp>C 26NP300000-ICE</stp>
        <stp>Last</stp>
        <stp>D</stp>
        <stp>18/09/2025 00:00:00</stp>
        <stp/>
        <stp/>
        <stp>-1</stp>
        <tr r="B41" s="2"/>
      </tp>
      <tp>
        <v>250</v>
        <stp/>
        <stp>*H</stp>
        <stp>C 26UP300000-ICE</stp>
        <stp>Open Interest</stp>
        <stp>D</stp>
        <stp>03/09/2025 00:00:00</stp>
        <stp/>
        <stp/>
        <stp>-1</stp>
        <tr r="D52" s="1"/>
      </tp>
      <tp>
        <v>250</v>
        <stp/>
        <stp>*H</stp>
        <stp>C 26UP300000-ICE</stp>
        <stp>Open Interest</stp>
        <stp>D</stp>
        <stp>13/08/2025 00:00:00</stp>
        <stp/>
        <stp/>
        <stp>-1</stp>
        <tr r="D65" s="1"/>
      </tp>
      <tp>
        <v>250</v>
        <stp/>
        <stp>*H</stp>
        <stp>C 26UP300000-ICE</stp>
        <stp>Open Interest</stp>
        <stp>D</stp>
        <stp>23/09/2025 00:00:00</stp>
        <stp/>
        <stp/>
        <stp>-1</stp>
        <tr r="D38" s="1"/>
      </tp>
      <tp>
        <v>0</v>
        <stp/>
        <stp>*H</stp>
        <stp>C 26UP300000-ICE</stp>
        <stp>Open Interest</stp>
        <stp>D</stp>
        <stp>23/07/2025 00:00:00</stp>
        <stp/>
        <stp/>
        <stp>-1</stp>
        <tr r="D80" s="1"/>
      </tp>
      <tp>
        <v>250</v>
        <stp/>
        <stp>*H</stp>
        <stp>C 26UP300000-ICE</stp>
        <stp>Open Interest</stp>
        <stp>D</stp>
        <stp>03/11/2025 00:00:00</stp>
        <stp/>
        <stp/>
        <stp>-1</stp>
        <tr r="D9" s="1"/>
      </tp>
      <tp>
        <v>250</v>
        <stp/>
        <stp>*H</stp>
        <stp>C 26UP300000-ICE</stp>
        <stp>Open Interest</stp>
        <stp>D</stp>
        <stp>13/10/2025 00:00:00</stp>
        <stp/>
        <stp/>
        <stp>-1</stp>
        <tr r="D24" s="1"/>
      </tp>
      <tp>
        <v>250</v>
        <stp/>
        <stp>*H</stp>
        <stp>C 26UP300000-ICE</stp>
        <stp>Open Interest</stp>
        <stp>D</stp>
        <stp>03/10/2025 00:00:00</stp>
        <stp/>
        <stp/>
        <stp>-1</stp>
        <tr r="D30" s="1"/>
      </tp>
      <tp>
        <v>250</v>
        <stp/>
        <stp>*H</stp>
        <stp>C 26UP300000-ICE</stp>
        <stp>Open Interest</stp>
        <stp>D</stp>
        <stp>23/10/2025 00:00:00</stp>
        <stp/>
        <stp/>
        <stp>-1</stp>
        <tr r="D16" s="1"/>
      </tp>
    </main>
    <main first="ixl">
      <tp>
        <v>300</v>
        <stp/>
        <stp>*H</stp>
        <stp>C 26NP300000-ICE</stp>
        <stp>Open Interest</stp>
        <stp>D</stp>
        <stp>03/11/2025 00:00:00</stp>
        <stp/>
        <stp/>
        <stp>-1</stp>
        <tr r="D9" s="2"/>
      </tp>
      <tp>
        <v>300</v>
        <stp/>
        <stp>*H</stp>
        <stp>C 26NP300000-ICE</stp>
        <stp>Open Interest</stp>
        <stp>D</stp>
        <stp>13/10/2025 00:00:00</stp>
        <stp/>
        <stp/>
        <stp>-1</stp>
        <tr r="D24" s="2"/>
      </tp>
      <tp>
        <v>300</v>
        <stp/>
        <stp>*H</stp>
        <stp>C 26NP300000-ICE</stp>
        <stp>Open Interest</stp>
        <stp>D</stp>
        <stp>03/10/2025 00:00:00</stp>
        <stp/>
        <stp/>
        <stp>-1</stp>
        <tr r="D30" s="2"/>
      </tp>
      <tp>
        <v>300</v>
        <stp/>
        <stp>*H</stp>
        <stp>C 26NP300000-ICE</stp>
        <stp>Open Interest</stp>
        <stp>D</stp>
        <stp>23/10/2025 00:00:00</stp>
        <stp/>
        <stp/>
        <stp>-1</stp>
        <tr r="D16" s="2"/>
      </tp>
      <tp>
        <v>250</v>
        <stp/>
        <stp>*H</stp>
        <stp>C 26NP300000-ICE</stp>
        <stp>Open Interest</stp>
        <stp>D</stp>
        <stp>03/09/2025 00:00:00</stp>
        <stp/>
        <stp/>
        <stp>-1</stp>
        <tr r="D52" s="2"/>
      </tp>
      <tp>
        <v>250</v>
        <stp/>
        <stp>*H</stp>
        <stp>C 26NP300000-ICE</stp>
        <stp>Open Interest</stp>
        <stp>D</stp>
        <stp>13/08/2025 00:00:00</stp>
        <stp/>
        <stp/>
        <stp>-1</stp>
        <tr r="D65" s="2"/>
      </tp>
      <tp>
        <v>250</v>
        <stp/>
        <stp>*H</stp>
        <stp>C 26NP300000-ICE</stp>
        <stp>Open Interest</stp>
        <stp>D</stp>
        <stp>23/09/2025 00:00:00</stp>
        <stp/>
        <stp/>
        <stp>-1</stp>
        <tr r="D38" s="2"/>
      </tp>
      <tp>
        <v>0</v>
        <stp/>
        <stp>*H</stp>
        <stp>C 26NP300000-ICE</stp>
        <stp>Open Interest</stp>
        <stp>D</stp>
        <stp>23/07/2025 00:00:00</stp>
        <stp/>
        <stp/>
        <stp>-1</stp>
        <tr r="D80" s="2"/>
      </tp>
    </main>
    <main first="ixl">
      <tp>
        <v>62</v>
        <stp/>
        <stp>*H</stp>
        <stp>C 26UP300000-ICE</stp>
        <stp>Last</stp>
        <stp>D</stp>
        <stp>09/10/2025 00:00:00</stp>
        <stp/>
        <stp/>
        <stp>-1</stp>
        <tr r="B26" s="1"/>
      </tp>
      <tp>
        <v>29</v>
        <stp/>
        <stp>*H</stp>
        <stp>C 26UP300000-ICE</stp>
        <stp>Last</stp>
        <stp>D</stp>
        <stp>29/10/2025 00:00:00</stp>
        <stp/>
        <stp/>
        <stp>-1</stp>
        <tr r="B12" s="1"/>
      </tp>
      <tp>
        <v>34</v>
        <stp/>
        <stp>*H</stp>
        <stp>C 26NP300000-ICE</stp>
        <stp>Last</stp>
        <stp>D</stp>
        <stp>29/10/2025 00:00:00</stp>
        <stp/>
        <stp/>
        <stp>-1</stp>
        <tr r="B12" s="2"/>
      </tp>
      <tp>
        <v>60</v>
        <stp/>
        <stp>*H</stp>
        <stp>C 26NP300000-ICE</stp>
        <stp>Last</stp>
        <stp>D</stp>
        <stp>09/10/2025 00:00:00</stp>
        <stp/>
        <stp/>
        <stp>-1</stp>
        <tr r="B26" s="2"/>
      </tp>
      <tp>
        <v>16</v>
        <stp/>
        <stp>*H</stp>
        <stp>C 26UP300000-ICE</stp>
        <stp>Last</stp>
        <stp>D</stp>
        <stp>19/09/2025 00:00:00</stp>
        <stp/>
        <stp/>
        <stp>-1</stp>
        <tr r="B40" s="1"/>
      </tp>
      <tp>
        <v>31</v>
        <stp/>
        <stp>*H</stp>
        <stp>C 26UP300000-ICE</stp>
        <stp>Last</stp>
        <stp>D</stp>
        <stp>09/09/2025 00:00:00</stp>
        <stp/>
        <stp/>
        <stp>-1</stp>
        <tr r="B48" s="1"/>
      </tp>
      <tp>
        <v>19</v>
        <stp/>
        <stp>*H</stp>
        <stp>C 26UP300000-ICE</stp>
        <stp>Last</stp>
        <stp>D</stp>
        <stp>19/08/2025 00:00:00</stp>
        <stp/>
        <stp/>
        <stp>-1</stp>
        <tr r="B61" s="1"/>
      </tp>
      <tp>
        <v>27</v>
        <stp/>
        <stp>*H</stp>
        <stp>C 26UP300000-ICE</stp>
        <stp>Last</stp>
        <stp>D</stp>
        <stp>29/08/2025 00:00:00</stp>
        <stp/>
        <stp/>
        <stp>-1</stp>
        <tr r="B55" s="1"/>
      </tp>
      <tp>
        <v>20</v>
        <stp/>
        <stp>*H</stp>
        <stp>C 26UP300000-ICE</stp>
        <stp>Last</stp>
        <stp>D</stp>
        <stp>29/09/2025 00:00:00</stp>
        <stp/>
        <stp/>
        <stp>-1</stp>
        <tr r="B34" s="1"/>
      </tp>
      <tp>
        <v>24</v>
        <stp/>
        <stp>*H</stp>
        <stp>C 26UP300000-ICE</stp>
        <stp>Last</stp>
        <stp>D</stp>
        <stp>29/07/2025 00:00:00</stp>
        <stp/>
        <stp/>
        <stp>-1</stp>
        <tr r="B76" s="1"/>
      </tp>
      <tp>
        <v>31</v>
        <stp/>
        <stp>*H</stp>
        <stp>C 26NP300000-ICE</stp>
        <stp>Last</stp>
        <stp>D</stp>
        <stp>29/07/2025 00:00:00</stp>
        <stp/>
        <stp/>
        <stp>-1</stp>
        <tr r="B76" s="2"/>
      </tp>
      <tp>
        <v>23</v>
        <stp/>
        <stp>*H</stp>
        <stp>C 26NP300000-ICE</stp>
        <stp>Last</stp>
        <stp>D</stp>
        <stp>29/09/2025 00:00:00</stp>
        <stp/>
        <stp/>
        <stp>-1</stp>
        <tr r="B34" s="2"/>
      </tp>
      <tp>
        <v>32</v>
        <stp/>
        <stp>*H</stp>
        <stp>C 26NP300000-ICE</stp>
        <stp>Last</stp>
        <stp>D</stp>
        <stp>29/08/2025 00:00:00</stp>
        <stp/>
        <stp/>
        <stp>-1</stp>
        <tr r="B55" s="2"/>
      </tp>
      <tp>
        <v>36</v>
        <stp/>
        <stp>*H</stp>
        <stp>C 26NP300000-ICE</stp>
        <stp>Last</stp>
        <stp>D</stp>
        <stp>09/09/2025 00:00:00</stp>
        <stp/>
        <stp/>
        <stp>-1</stp>
        <tr r="B48" s="2"/>
      </tp>
      <tp>
        <v>24</v>
        <stp/>
        <stp>*H</stp>
        <stp>C 26NP300000-ICE</stp>
        <stp>Last</stp>
        <stp>D</stp>
        <stp>19/08/2025 00:00:00</stp>
        <stp/>
        <stp/>
        <stp>-1</stp>
        <tr r="B61" s="2"/>
      </tp>
      <tp>
        <v>16</v>
        <stp/>
        <stp>*H</stp>
        <stp>C 26NP300000-ICE</stp>
        <stp>Last</stp>
        <stp>D</stp>
        <stp>19/09/2025 00:00:00</stp>
        <stp/>
        <stp/>
        <stp>-1</stp>
        <tr r="B40" s="2"/>
      </tp>
    </main>
    <main first="ixl">
      <tp>
        <v>250</v>
        <stp/>
        <stp>*H</stp>
        <stp>C 26UP300000-ICE</stp>
        <stp>Open Interest</stp>
        <stp>D</stp>
        <stp>10/09/2025 00:00:00</stp>
        <stp/>
        <stp/>
        <stp>-1</stp>
        <tr r="D47" s="1"/>
      </tp>
      <tp>
        <v>250</v>
        <stp/>
        <stp>*H</stp>
        <stp>C 26UP300000-ICE</stp>
        <stp>Open Interest</stp>
        <stp>D</stp>
        <stp>20/08/2025 00:00:00</stp>
        <stp/>
        <stp/>
        <stp>-1</stp>
        <tr r="D60" s="1"/>
      </tp>
      <tp>
        <v>250</v>
        <stp/>
        <stp>*H</stp>
        <stp>C 26UP300000-ICE</stp>
        <stp>Open Interest</stp>
        <stp>D</stp>
        <stp>30/09/2025 00:00:00</stp>
        <stp/>
        <stp/>
        <stp>-1</stp>
        <tr r="D33" s="1"/>
      </tp>
      <tp>
        <v>0</v>
        <stp/>
        <stp>*H</stp>
        <stp>C 26UP300000-ICE</stp>
        <stp>Open Interest</stp>
        <stp>D</stp>
        <stp>30/07/2025 00:00:00</stp>
        <stp/>
        <stp/>
        <stp>-1</stp>
        <tr r="D75" s="1"/>
      </tp>
      <tp>
        <v>250</v>
        <stp/>
        <stp>*H</stp>
        <stp>C 26UP300000-ICE</stp>
        <stp>Open Interest</stp>
        <stp>D</stp>
        <stp>10/10/2025 00:00:00</stp>
        <stp/>
        <stp/>
        <stp>-1</stp>
        <tr r="D25" s="1"/>
      </tp>
      <tp>
        <v>250</v>
        <stp/>
        <stp>*H</stp>
        <stp>C 26UP300000-ICE</stp>
        <stp>Open Interest</stp>
        <stp>D</stp>
        <stp>10/11/2025 00:00:00</stp>
        <stp/>
        <stp/>
        <stp>-1</stp>
        <tr r="D4" s="1"/>
      </tp>
      <tp>
        <v>250</v>
        <stp/>
        <stp>*H</stp>
        <stp>C 26UP300000-ICE</stp>
        <stp>Open Interest</stp>
        <stp>D</stp>
        <stp>30/10/2025 00:00:00</stp>
        <stp/>
        <stp/>
        <stp>-1</stp>
        <tr r="D11" s="1"/>
      </tp>
      <tp>
        <v>250</v>
        <stp/>
        <stp>*H</stp>
        <stp>C 26UP300000-ICE</stp>
        <stp>Open Interest</stp>
        <stp>D</stp>
        <stp>20/10/2025 00:00:00</stp>
        <stp/>
        <stp/>
        <stp>-1</stp>
        <tr r="D19" s="1"/>
      </tp>
      <tp>
        <v>300</v>
        <stp/>
        <stp>*H</stp>
        <stp>C 26NP300000-ICE</stp>
        <stp>Open Interest</stp>
        <stp>D</stp>
        <stp>10/10/2025 00:00:00</stp>
        <stp/>
        <stp/>
        <stp>-1</stp>
        <tr r="D25" s="2"/>
      </tp>
      <tp>
        <v>300</v>
        <stp/>
        <stp>*H</stp>
        <stp>C 26NP300000-ICE</stp>
        <stp>Open Interest</stp>
        <stp>D</stp>
        <stp>10/11/2025 00:00:00</stp>
        <stp/>
        <stp/>
        <stp>-1</stp>
        <tr r="D4" s="2"/>
      </tp>
      <tp>
        <v>300</v>
        <stp/>
        <stp>*H</stp>
        <stp>C 26NP300000-ICE</stp>
        <stp>Open Interest</stp>
        <stp>D</stp>
        <stp>30/10/2025 00:00:00</stp>
        <stp/>
        <stp/>
        <stp>-1</stp>
        <tr r="D11" s="2"/>
      </tp>
      <tp>
        <v>300</v>
        <stp/>
        <stp>*H</stp>
        <stp>C 26NP300000-ICE</stp>
        <stp>Open Interest</stp>
        <stp>D</stp>
        <stp>20/10/2025 00:00:00</stp>
        <stp/>
        <stp/>
        <stp>-1</stp>
        <tr r="D19" s="2"/>
      </tp>
      <tp>
        <v>250</v>
        <stp/>
        <stp>*H</stp>
        <stp>C 26NP300000-ICE</stp>
        <stp>Open Interest</stp>
        <stp>D</stp>
        <stp>10/09/2025 00:00:00</stp>
        <stp/>
        <stp/>
        <stp>-1</stp>
        <tr r="D47" s="2"/>
      </tp>
      <tp>
        <v>250</v>
        <stp/>
        <stp>*H</stp>
        <stp>C 26NP300000-ICE</stp>
        <stp>Open Interest</stp>
        <stp>D</stp>
        <stp>20/08/2025 00:00:00</stp>
        <stp/>
        <stp/>
        <stp>-1</stp>
        <tr r="D60" s="2"/>
      </tp>
      <tp>
        <v>300</v>
        <stp/>
        <stp>*H</stp>
        <stp>C 26NP300000-ICE</stp>
        <stp>Open Interest</stp>
        <stp>D</stp>
        <stp>30/09/2025 00:00:00</stp>
        <stp/>
        <stp/>
        <stp>-1</stp>
        <tr r="D33" s="2"/>
      </tp>
      <tp>
        <v>0</v>
        <stp/>
        <stp>*H</stp>
        <stp>C 26NP300000-ICE</stp>
        <stp>Open Interest</stp>
        <stp>D</stp>
        <stp>30/07/2025 00:00:00</stp>
        <stp/>
        <stp/>
        <stp>-1</stp>
        <tr r="D75" s="2"/>
      </tp>
      <tp>
        <v>250</v>
        <stp/>
        <stp>*H</stp>
        <stp>C 26UP300000-ICE</stp>
        <stp>Open Interest</stp>
        <stp>D</stp>
        <stp>01/09/2025 00:00:00</stp>
        <stp/>
        <stp/>
        <stp>-1</stp>
        <tr r="D54" s="1"/>
      </tp>
      <tp>
        <v>250</v>
        <stp/>
        <stp>*H</stp>
        <stp>C 26UP300000-ICE</stp>
        <stp>Open Interest</stp>
        <stp>D</stp>
        <stp>11/08/2025 00:00:00</stp>
        <stp/>
        <stp/>
        <stp>-1</stp>
        <tr r="D67" s="1"/>
      </tp>
      <tp>
        <v>0</v>
        <stp/>
        <stp>*H</stp>
        <stp>C 26UP300000-ICE</stp>
        <stp>Open Interest</stp>
        <stp>D</stp>
        <stp>01/08/2025 00:00:00</stp>
        <stp/>
        <stp/>
        <stp>-1</stp>
        <tr r="D73" s="1"/>
      </tp>
      <tp>
        <v>250</v>
        <stp/>
        <stp>*H</stp>
        <stp>C 26UP300000-ICE</stp>
        <stp>Open Interest</stp>
        <stp>D</stp>
        <stp>11/09/2025 00:00:00</stp>
        <stp/>
        <stp/>
        <stp>-1</stp>
        <tr r="D46" s="1"/>
      </tp>
      <tp>
        <v>250</v>
        <stp/>
        <stp>*H</stp>
        <stp>C 26UP300000-ICE</stp>
        <stp>Open Interest</stp>
        <stp>D</stp>
        <stp>21/08/2025 00:00:00</stp>
        <stp/>
        <stp/>
        <stp>-1</stp>
        <tr r="D59" s="1"/>
      </tp>
      <tp>
        <v>0</v>
        <stp/>
        <stp>*H</stp>
        <stp>C 26UP300000-ICE</stp>
        <stp>Open Interest</stp>
        <stp>D</stp>
        <stp>21/07/2025 00:00:00</stp>
        <stp/>
        <stp/>
        <stp>-1</stp>
        <tr r="D82" s="1"/>
      </tp>
      <tp>
        <v>0</v>
        <stp/>
        <stp>*H</stp>
        <stp>C 26UP300000-ICE</stp>
        <stp>Open Interest</stp>
        <stp>D</stp>
        <stp>31/07/2025 00:00:00</stp>
        <stp/>
        <stp/>
        <stp>-1</stp>
        <tr r="D74" s="1"/>
      </tp>
      <tp>
        <v>250</v>
        <stp/>
        <stp>*H</stp>
        <stp>C 26UP300000-ICE</stp>
        <stp>Open Interest</stp>
        <stp>D</stp>
        <stp>01/10/2025 00:00:00</stp>
        <stp/>
        <stp/>
        <stp>-1</stp>
        <tr r="D32" s="1"/>
      </tp>
      <tp>
        <v>250</v>
        <stp/>
        <stp>*H</stp>
        <stp>C 26UP300000-ICE</stp>
        <stp>Open Interest</stp>
        <stp>D</stp>
        <stp>11/11/2025 00:00:00</stp>
        <stp/>
        <stp/>
        <stp>-1</stp>
        <tr r="D3" s="1"/>
      </tp>
      <tp>
        <v>250</v>
        <stp/>
        <stp>*H</stp>
        <stp>C 26UP300000-ICE</stp>
        <stp>Open Interest</stp>
        <stp>D</stp>
        <stp>31/10/2025 00:00:00</stp>
        <stp/>
        <stp/>
        <stp>-1</stp>
        <tr r="D10" s="1"/>
      </tp>
      <tp>
        <v>250</v>
        <stp/>
        <stp>*H</stp>
        <stp>C 26UP300000-ICE</stp>
        <stp>Open Interest</stp>
        <stp>D</stp>
        <stp>21/10/2025 00:00:00</stp>
        <stp/>
        <stp/>
        <stp>-1</stp>
        <tr r="D18" s="1"/>
      </tp>
      <tp>
        <v>300</v>
        <stp/>
        <stp>*H</stp>
        <stp>C 26NP300000-ICE</stp>
        <stp>Open Interest</stp>
        <stp>D</stp>
        <stp>01/10/2025 00:00:00</stp>
        <stp/>
        <stp/>
        <stp>-1</stp>
        <tr r="D32" s="2"/>
      </tp>
      <tp>
        <v>300</v>
        <stp/>
        <stp>*H</stp>
        <stp>C 26NP300000-ICE</stp>
        <stp>Open Interest</stp>
        <stp>D</stp>
        <stp>11/11/2025 00:00:00</stp>
        <stp/>
        <stp/>
        <stp>-1</stp>
        <tr r="D3" s="2"/>
      </tp>
      <tp>
        <v>300</v>
        <stp/>
        <stp>*H</stp>
        <stp>C 26NP300000-ICE</stp>
        <stp>Open Interest</stp>
        <stp>D</stp>
        <stp>31/10/2025 00:00:00</stp>
        <stp/>
        <stp/>
        <stp>-1</stp>
        <tr r="D10" s="2"/>
      </tp>
      <tp>
        <v>300</v>
        <stp/>
        <stp>*H</stp>
        <stp>C 26NP300000-ICE</stp>
        <stp>Open Interest</stp>
        <stp>D</stp>
        <stp>21/10/2025 00:00:00</stp>
        <stp/>
        <stp/>
        <stp>-1</stp>
        <tr r="D18" s="2"/>
      </tp>
      <tp>
        <v>250</v>
        <stp/>
        <stp>*H</stp>
        <stp>C 26NP300000-ICE</stp>
        <stp>Open Interest</stp>
        <stp>D</stp>
        <stp>01/09/2025 00:00:00</stp>
        <stp/>
        <stp/>
        <stp>-1</stp>
        <tr r="D54" s="2"/>
      </tp>
      <tp>
        <v>250</v>
        <stp/>
        <stp>*H</stp>
        <stp>C 26NP300000-ICE</stp>
        <stp>Open Interest</stp>
        <stp>D</stp>
        <stp>11/08/2025 00:00:00</stp>
        <stp/>
        <stp/>
        <stp>-1</stp>
        <tr r="D67" s="2"/>
      </tp>
      <tp>
        <v>0</v>
        <stp/>
        <stp>*H</stp>
        <stp>C 26NP300000-ICE</stp>
        <stp>Open Interest</stp>
        <stp>D</stp>
        <stp>01/08/2025 00:00:00</stp>
        <stp/>
        <stp/>
        <stp>-1</stp>
        <tr r="D73" s="2"/>
      </tp>
      <tp>
        <v>250</v>
        <stp/>
        <stp>*H</stp>
        <stp>C 26NP300000-ICE</stp>
        <stp>Open Interest</stp>
        <stp>D</stp>
        <stp>11/09/2025 00:00:00</stp>
        <stp/>
        <stp/>
        <stp>-1</stp>
        <tr r="D46" s="2"/>
      </tp>
      <tp>
        <v>250</v>
        <stp/>
        <stp>*H</stp>
        <stp>C 26NP300000-ICE</stp>
        <stp>Open Interest</stp>
        <stp>D</stp>
        <stp>21/08/2025 00:00:00</stp>
        <stp/>
        <stp/>
        <stp>-1</stp>
        <tr r="D59" s="2"/>
      </tp>
      <tp>
        <v>0</v>
        <stp/>
        <stp>*H</stp>
        <stp>C 26NP300000-ICE</stp>
        <stp>Open Interest</stp>
        <stp>D</stp>
        <stp>21/07/2025 00:00:00</stp>
        <stp/>
        <stp/>
        <stp>-1</stp>
        <tr r="D82" s="2"/>
      </tp>
      <tp>
        <v>0</v>
        <stp/>
        <stp>*H</stp>
        <stp>C 26NP300000-ICE</stp>
        <stp>Open Interest</stp>
        <stp>D</stp>
        <stp>31/07/2025 00:00:00</stp>
        <stp/>
        <stp/>
        <stp>-1</stp>
        <tr r="D74" s="2"/>
      </tp>
    </main>
    <main first="ixl">
      <tp>
        <v>27.91</v>
        <stp/>
        <stp>*H</stp>
        <stp>C 26UP300000-ICE</stp>
        <stp>Implied Volatility</stp>
        <stp>D</stp>
        <stp>07/11/2025 00:00:00</stp>
        <stp/>
        <stp/>
        <stp>-1</stp>
        <tr r="C5" s="1"/>
      </tp>
      <tp>
        <v>30.5</v>
        <stp/>
        <stp>*H</stp>
        <stp>C 26UP300000-ICE</stp>
        <stp>Implied Volatility</stp>
        <stp>D</stp>
        <stp>17/10/2025 00:00:00</stp>
        <stp/>
        <stp/>
        <stp>-1</stp>
        <tr r="C20" s="1"/>
      </tp>
      <tp>
        <v>29.99</v>
        <stp/>
        <stp>*H</stp>
        <stp>C 26UP300000-ICE</stp>
        <stp>Implied Volatility</stp>
        <stp>D</stp>
        <stp>07/10/2025 00:00:00</stp>
        <stp/>
        <stp/>
        <stp>-1</stp>
        <tr r="C28" s="1"/>
      </tp>
      <tp>
        <v>26.96</v>
        <stp/>
        <stp>*H</stp>
        <stp>C 26UP300000-ICE</stp>
        <stp>Implied Volatility</stp>
        <stp>D</stp>
        <stp>27/10/2025 00:00:00</stp>
        <stp/>
        <stp/>
        <stp>-1</stp>
        <tr r="C14" s="1"/>
      </tp>
      <tp>
        <v>32.130000000000003</v>
        <stp/>
        <stp>*H</stp>
        <stp>C 26UP300000-ICE</stp>
        <stp>Implied Volatility</stp>
        <stp>D</stp>
        <stp>07/08/2025 00:00:00</stp>
        <stp/>
        <stp/>
        <stp>-1</stp>
        <tr r="C69" s="1"/>
      </tp>
      <tp>
        <v>28.9</v>
        <stp/>
        <stp>*H</stp>
        <stp>C 26UP300000-ICE</stp>
        <stp>Implied Volatility</stp>
        <stp>D</stp>
        <stp>17/09/2025 00:00:00</stp>
        <stp/>
        <stp/>
        <stp>-1</stp>
        <tr r="C42" s="1"/>
      </tp>
      <tp>
        <v>31.86</v>
        <stp/>
        <stp>*H</stp>
        <stp>C 26UP300000-ICE</stp>
        <stp>Implied Volatility</stp>
        <stp>D</stp>
        <stp>27/08/2025 00:00:00</stp>
        <stp/>
        <stp/>
        <stp>-1</stp>
        <tr r="C57" s="1"/>
      </tp>
      <tp>
        <v>30.29</v>
        <stp/>
        <stp>*H</stp>
        <stp>C 26UP300000-ICE</stp>
        <stp>Implied Volatility</stp>
        <stp>D</stp>
        <stp>17/07/2025 00:00:00</stp>
        <stp/>
        <stp/>
        <stp>-1</stp>
        <tr r="C84" s="1"/>
      </tp>
    </main>
    <main first="ixl">
      <tp>
        <v>32.869999999999997</v>
        <stp/>
        <stp>*H</stp>
        <stp>C 26NP300000-ICE</stp>
        <stp>Implied Volatility</stp>
        <stp>D</stp>
        <stp>07/11/2025 00:00:00</stp>
        <stp/>
        <stp/>
        <stp>-1</stp>
        <tr r="C5" s="2"/>
      </tp>
      <tp>
        <v>33.159999999999997</v>
        <stp/>
        <stp>*H</stp>
        <stp>C 26NP300000-ICE</stp>
        <stp>Implied Volatility</stp>
        <stp>D</stp>
        <stp>17/10/2025 00:00:00</stp>
        <stp/>
        <stp/>
        <stp>-1</stp>
        <tr r="C20" s="2"/>
      </tp>
      <tp>
        <v>32.51</v>
        <stp/>
        <stp>*H</stp>
        <stp>C 26NP300000-ICE</stp>
        <stp>Implied Volatility</stp>
        <stp>D</stp>
        <stp>07/10/2025 00:00:00</stp>
        <stp/>
        <stp/>
        <stp>-1</stp>
        <tr r="C28" s="2"/>
      </tp>
      <tp>
        <v>31.61</v>
        <stp/>
        <stp>*H</stp>
        <stp>C 26NP300000-ICE</stp>
        <stp>Implied Volatility</stp>
        <stp>D</stp>
        <stp>27/10/2025 00:00:00</stp>
        <stp/>
        <stp/>
        <stp>-1</stp>
        <tr r="C14" s="2"/>
      </tp>
      <tp>
        <v>37.57</v>
        <stp/>
        <stp>*H</stp>
        <stp>C 26NP300000-ICE</stp>
        <stp>Implied Volatility</stp>
        <stp>D</stp>
        <stp>07/08/2025 00:00:00</stp>
        <stp/>
        <stp/>
        <stp>-1</stp>
        <tr r="C69" s="2"/>
      </tp>
      <tp>
        <v>32.64</v>
        <stp/>
        <stp>*H</stp>
        <stp>C 26NP300000-ICE</stp>
        <stp>Implied Volatility</stp>
        <stp>D</stp>
        <stp>17/09/2025 00:00:00</stp>
        <stp/>
        <stp/>
        <stp>-1</stp>
        <tr r="C42" s="2"/>
      </tp>
      <tp>
        <v>36.97</v>
        <stp/>
        <stp>*H</stp>
        <stp>C 26NP300000-ICE</stp>
        <stp>Implied Volatility</stp>
        <stp>D</stp>
        <stp>27/08/2025 00:00:00</stp>
        <stp/>
        <stp/>
        <stp>-1</stp>
        <tr r="C57" s="2"/>
      </tp>
      <tp>
        <v>30.53</v>
        <stp/>
        <stp>*H</stp>
        <stp>C 26NP300000-ICE</stp>
        <stp>Implied Volatility</stp>
        <stp>D</stp>
        <stp>17/07/2025 00:00:00</stp>
        <stp/>
        <stp/>
        <stp>-1</stp>
        <tr r="C84" s="2"/>
      </tp>
    </main>
    <main first="ixl">
      <tp>
        <v>28.33</v>
        <stp/>
        <stp>*H</stp>
        <stp>C 26UP300000-ICE</stp>
        <stp>Implied Volatility</stp>
        <stp>D</stp>
        <stp>06/11/2025 00:00:00</stp>
        <stp/>
        <stp/>
        <stp>-1</stp>
        <tr r="C6" s="1"/>
      </tp>
      <tp>
        <v>30.72</v>
        <stp/>
        <stp>*H</stp>
        <stp>C 26UP300000-ICE</stp>
        <stp>Implied Volatility</stp>
        <stp>D</stp>
        <stp>16/10/2025 00:00:00</stp>
        <stp/>
        <stp/>
        <stp>-1</stp>
        <tr r="C21" s="1"/>
      </tp>
      <tp>
        <v>29.99</v>
        <stp/>
        <stp>*H</stp>
        <stp>C 26UP300000-ICE</stp>
        <stp>Implied Volatility</stp>
        <stp>D</stp>
        <stp>06/10/2025 00:00:00</stp>
        <stp/>
        <stp/>
        <stp>-1</stp>
        <tr r="C29" s="1"/>
      </tp>
      <tp>
        <v>30.72</v>
        <stp/>
        <stp>*H</stp>
        <stp>C 26UP300000-ICE</stp>
        <stp>Implied Volatility</stp>
        <stp>D</stp>
        <stp>06/08/2025 00:00:00</stp>
        <stp/>
        <stp/>
        <stp>-1</stp>
        <tr r="C70" s="1"/>
      </tp>
      <tp>
        <v>29.15</v>
        <stp/>
        <stp>*H</stp>
        <stp>C 26UP300000-ICE</stp>
        <stp>Implied Volatility</stp>
        <stp>D</stp>
        <stp>16/09/2025 00:00:00</stp>
        <stp/>
        <stp/>
        <stp>-1</stp>
        <tr r="C43" s="1"/>
      </tp>
      <tp>
        <v>29.81</v>
        <stp/>
        <stp>*H</stp>
        <stp>C 26UP300000-ICE</stp>
        <stp>Implied Volatility</stp>
        <stp>D</stp>
        <stp>26/09/2025 00:00:00</stp>
        <stp/>
        <stp/>
        <stp>-1</stp>
        <tr r="C35" s="1"/>
      </tp>
      <tp>
        <v>0</v>
        <stp/>
        <stp>*H</stp>
        <stp>C 26UP300000-ICE</stp>
        <stp>Implied Volatility</stp>
        <stp>D</stp>
        <stp>16/07/2025 00:00:00</stp>
        <stp/>
        <stp/>
        <stp>-1</stp>
        <tr r="C85" s="1"/>
      </tp>
    </main>
    <main first="ixl">
      <tp>
        <v>33.729999999999997</v>
        <stp/>
        <stp>*H</stp>
        <stp>C 26NP300000-ICE</stp>
        <stp>Implied Volatility</stp>
        <stp>D</stp>
        <stp>06/11/2025 00:00:00</stp>
        <stp/>
        <stp/>
        <stp>-1</stp>
        <tr r="C6" s="2"/>
      </tp>
      <tp>
        <v>33.44</v>
        <stp/>
        <stp>*H</stp>
        <stp>C 26NP300000-ICE</stp>
        <stp>Implied Volatility</stp>
        <stp>D</stp>
        <stp>16/10/2025 00:00:00</stp>
        <stp/>
        <stp/>
        <stp>-1</stp>
        <tr r="C21" s="2"/>
      </tp>
      <tp>
        <v>32.68</v>
        <stp/>
        <stp>*H</stp>
        <stp>C 26NP300000-ICE</stp>
        <stp>Implied Volatility</stp>
        <stp>D</stp>
        <stp>06/10/2025 00:00:00</stp>
        <stp/>
        <stp/>
        <stp>-1</stp>
        <tr r="C29" s="2"/>
      </tp>
      <tp>
        <v>35.99</v>
        <stp/>
        <stp>*H</stp>
        <stp>C 26NP300000-ICE</stp>
        <stp>Implied Volatility</stp>
        <stp>D</stp>
        <stp>06/08/2025 00:00:00</stp>
        <stp/>
        <stp/>
        <stp>-1</stp>
        <tr r="C70" s="2"/>
      </tp>
      <tp>
        <v>32.28</v>
        <stp/>
        <stp>*H</stp>
        <stp>C 26NP300000-ICE</stp>
        <stp>Implied Volatility</stp>
        <stp>D</stp>
        <stp>16/09/2025 00:00:00</stp>
        <stp/>
        <stp/>
        <stp>-1</stp>
        <tr r="C43" s="2"/>
      </tp>
      <tp>
        <v>33.409999999999997</v>
        <stp/>
        <stp>*H</stp>
        <stp>C 26NP300000-ICE</stp>
        <stp>Implied Volatility</stp>
        <stp>D</stp>
        <stp>26/09/2025 00:00:00</stp>
        <stp/>
        <stp/>
        <stp>-1</stp>
        <tr r="C35" s="2"/>
      </tp>
      <tp>
        <v>30.2</v>
        <stp/>
        <stp>*H</stp>
        <stp>C 26NP300000-ICE</stp>
        <stp>Implied Volatility</stp>
        <stp>D</stp>
        <stp>16/07/2025 00:00:00</stp>
        <stp/>
        <stp/>
        <stp>-1</stp>
        <tr r="C85" s="2"/>
      </tp>
    </main>
    <main first="ixl">
      <tp>
        <v>28.98</v>
        <stp/>
        <stp>*H</stp>
        <stp>C 26UP300000-ICE</stp>
        <stp>Implied Volatility</stp>
        <stp>D</stp>
        <stp>05/11/2025 00:00:00</stp>
        <stp/>
        <stp/>
        <stp>-1</stp>
        <tr r="C7" s="1"/>
      </tp>
      <tp>
        <v>30.44</v>
        <stp/>
        <stp>*H</stp>
        <stp>C 26UP300000-ICE</stp>
        <stp>Implied Volatility</stp>
        <stp>D</stp>
        <stp>15/10/2025 00:00:00</stp>
        <stp/>
        <stp/>
        <stp>-1</stp>
        <tr r="C22" s="1"/>
      </tp>
      <tp>
        <v>32.76</v>
        <stp/>
        <stp>*H</stp>
        <stp>C 26UP300000-ICE</stp>
        <stp>Implied Volatility</stp>
        <stp>D</stp>
        <stp>05/09/2025 00:00:00</stp>
        <stp/>
        <stp/>
        <stp>-1</stp>
        <tr r="C50" s="1"/>
      </tp>
      <tp>
        <v>31.56</v>
        <stp/>
        <stp>*H</stp>
        <stp>C 26UP300000-ICE</stp>
        <stp>Implied Volatility</stp>
        <stp>D</stp>
        <stp>15/08/2025 00:00:00</stp>
        <stp/>
        <stp/>
        <stp>-1</stp>
        <tr r="C63" s="1"/>
      </tp>
      <tp>
        <v>31.03</v>
        <stp/>
        <stp>*H</stp>
        <stp>C 26UP300000-ICE</stp>
        <stp>Implied Volatility</stp>
        <stp>D</stp>
        <stp>05/08/2025 00:00:00</stp>
        <stp/>
        <stp/>
        <stp>-1</stp>
        <tr r="C71" s="1"/>
      </tp>
      <tp>
        <v>31.9</v>
        <stp/>
        <stp>*H</stp>
        <stp>C 26UP300000-ICE</stp>
        <stp>Implied Volatility</stp>
        <stp>D</stp>
        <stp>15/09/2025 00:00:00</stp>
        <stp/>
        <stp/>
        <stp>-1</stp>
        <tr r="C44" s="1"/>
      </tp>
      <tp>
        <v>29.22</v>
        <stp/>
        <stp>*H</stp>
        <stp>C 26UP300000-ICE</stp>
        <stp>Implied Volatility</stp>
        <stp>D</stp>
        <stp>25/09/2025 00:00:00</stp>
        <stp/>
        <stp/>
        <stp>-1</stp>
        <tr r="C36" s="1"/>
      </tp>
      <tp>
        <v>28.67</v>
        <stp/>
        <stp>*H</stp>
        <stp>C 26UP300000-ICE</stp>
        <stp>Implied Volatility</stp>
        <stp>D</stp>
        <stp>25/07/2025 00:00:00</stp>
        <stp/>
        <stp/>
        <stp>-1</stp>
        <tr r="C78" s="1"/>
      </tp>
      <tp>
        <v>0</v>
        <stp/>
        <stp>*H</stp>
        <stp>C 26UP300000-ICE</stp>
        <stp>Implied Volatility</stp>
        <stp>D</stp>
        <stp>15/07/2025 00:00:00</stp>
        <stp/>
        <stp/>
        <stp>-1</stp>
        <tr r="C86" s="1"/>
      </tp>
      <tp>
        <v>34.72</v>
        <stp/>
        <stp>*H</stp>
        <stp>C 26NP300000-ICE</stp>
        <stp>Implied Volatility</stp>
        <stp>D</stp>
        <stp>05/11/2025 00:00:00</stp>
        <stp/>
        <stp/>
        <stp>-1</stp>
        <tr r="C7" s="2"/>
      </tp>
      <tp>
        <v>33.700000000000003</v>
        <stp/>
        <stp>*H</stp>
        <stp>C 26NP300000-ICE</stp>
        <stp>Implied Volatility</stp>
        <stp>D</stp>
        <stp>15/10/2025 00:00:00</stp>
        <stp/>
        <stp/>
        <stp>-1</stp>
        <tr r="C22" s="2"/>
      </tp>
      <tp>
        <v>37.44</v>
        <stp/>
        <stp>*H</stp>
        <stp>C 26NP300000-ICE</stp>
        <stp>Implied Volatility</stp>
        <stp>D</stp>
        <stp>05/09/2025 00:00:00</stp>
        <stp/>
        <stp/>
        <stp>-1</stp>
        <tr r="C50" s="2"/>
      </tp>
      <tp>
        <v>36.46</v>
        <stp/>
        <stp>*H</stp>
        <stp>C 26NP300000-ICE</stp>
        <stp>Implied Volatility</stp>
        <stp>D</stp>
        <stp>15/08/2025 00:00:00</stp>
        <stp/>
        <stp/>
        <stp>-1</stp>
        <tr r="C63" s="2"/>
      </tp>
      <tp>
        <v>35.880000000000003</v>
        <stp/>
        <stp>*H</stp>
        <stp>C 26NP300000-ICE</stp>
        <stp>Implied Volatility</stp>
        <stp>D</stp>
        <stp>05/08/2025 00:00:00</stp>
        <stp/>
        <stp/>
        <stp>-1</stp>
        <tr r="C71" s="2"/>
      </tp>
      <tp>
        <v>35.119999999999997</v>
        <stp/>
        <stp>*H</stp>
        <stp>C 26NP300000-ICE</stp>
        <stp>Implied Volatility</stp>
        <stp>D</stp>
        <stp>15/09/2025 00:00:00</stp>
        <stp/>
        <stp/>
        <stp>-1</stp>
        <tr r="C44" s="2"/>
      </tp>
      <tp>
        <v>32.6</v>
        <stp/>
        <stp>*H</stp>
        <stp>C 26NP300000-ICE</stp>
        <stp>Implied Volatility</stp>
        <stp>D</stp>
        <stp>25/09/2025 00:00:00</stp>
        <stp/>
        <stp/>
        <stp>-1</stp>
        <tr r="C36" s="2"/>
      </tp>
      <tp>
        <v>33.409999999999997</v>
        <stp/>
        <stp>*H</stp>
        <stp>C 26NP300000-ICE</stp>
        <stp>Implied Volatility</stp>
        <stp>D</stp>
        <stp>25/07/2025 00:00:00</stp>
        <stp/>
        <stp/>
        <stp>-1</stp>
        <tr r="C78" s="2"/>
      </tp>
      <tp>
        <v>30.15</v>
        <stp/>
        <stp>*H</stp>
        <stp>C 26NP300000-ICE</stp>
        <stp>Implied Volatility</stp>
        <stp>D</stp>
        <stp>15/07/2025 00:00:00</stp>
        <stp/>
        <stp/>
        <stp>-1</stp>
        <tr r="C86" s="2"/>
      </tp>
    </main>
    <main first="ixl">
      <tp>
        <v>29.31</v>
        <stp/>
        <stp>*H</stp>
        <stp>C 26UP300000-ICE</stp>
        <stp>Implied Volatility</stp>
        <stp>D</stp>
        <stp>04/11/2025 00:00:00</stp>
        <stp/>
        <stp/>
        <stp>-1</stp>
        <tr r="C8" s="1"/>
      </tp>
      <tp>
        <v>29.77</v>
        <stp/>
        <stp>*H</stp>
        <stp>C 26UP300000-ICE</stp>
        <stp>Implied Volatility</stp>
        <stp>D</stp>
        <stp>14/10/2025 00:00:00</stp>
        <stp/>
        <stp/>
        <stp>-1</stp>
        <tr r="C23" s="1"/>
      </tp>
      <tp>
        <v>28.17</v>
        <stp/>
        <stp>*H</stp>
        <stp>C 26UP300000-ICE</stp>
        <stp>Implied Volatility</stp>
        <stp>D</stp>
        <stp>24/10/2025 00:00:00</stp>
        <stp/>
        <stp/>
        <stp>-1</stp>
        <tr r="C15" s="1"/>
      </tp>
      <tp>
        <v>32.74</v>
        <stp/>
        <stp>*H</stp>
        <stp>C 26UP300000-ICE</stp>
        <stp>Implied Volatility</stp>
        <stp>D</stp>
        <stp>04/09/2025 00:00:00</stp>
        <stp/>
        <stp/>
        <stp>-1</stp>
        <tr r="C51" s="1"/>
      </tp>
      <tp>
        <v>31.01</v>
        <stp/>
        <stp>*H</stp>
        <stp>C 26UP300000-ICE</stp>
        <stp>Implied Volatility</stp>
        <stp>D</stp>
        <stp>14/08/2025 00:00:00</stp>
        <stp/>
        <stp/>
        <stp>-1</stp>
        <tr r="C64" s="1"/>
      </tp>
      <tp>
        <v>31.06</v>
        <stp/>
        <stp>*H</stp>
        <stp>C 26UP300000-ICE</stp>
        <stp>Implied Volatility</stp>
        <stp>D</stp>
        <stp>04/08/2025 00:00:00</stp>
        <stp/>
        <stp/>
        <stp>-1</stp>
        <tr r="C72" s="1"/>
      </tp>
      <tp>
        <v>29.19</v>
        <stp/>
        <stp>*H</stp>
        <stp>C 26UP300000-ICE</stp>
        <stp>Implied Volatility</stp>
        <stp>D</stp>
        <stp>24/09/2025 00:00:00</stp>
        <stp/>
        <stp/>
        <stp>-1</stp>
        <tr r="C37" s="1"/>
      </tp>
      <tp>
        <v>28.21</v>
        <stp/>
        <stp>*H</stp>
        <stp>C 26UP300000-ICE</stp>
        <stp>Implied Volatility</stp>
        <stp>D</stp>
        <stp>24/07/2025 00:00:00</stp>
        <stp/>
        <stp/>
        <stp>-1</stp>
        <tr r="C79" s="1"/>
      </tp>
      <tp>
        <v>0</v>
        <stp/>
        <stp>*H</stp>
        <stp>C 26UP300000-ICE</stp>
        <stp>Implied Volatility</stp>
        <stp>D</stp>
        <stp>14/07/2025 00:00:00</stp>
        <stp/>
        <stp/>
        <stp>-1</stp>
        <tr r="C87" s="1"/>
      </tp>
      <tp>
        <v>35.479999999999997</v>
        <stp/>
        <stp>*H</stp>
        <stp>C 26NP300000-ICE</stp>
        <stp>Implied Volatility</stp>
        <stp>D</stp>
        <stp>04/11/2025 00:00:00</stp>
        <stp/>
        <stp/>
        <stp>-1</stp>
        <tr r="C8" s="2"/>
      </tp>
      <tp>
        <v>32.86</v>
        <stp/>
        <stp>*H</stp>
        <stp>C 26NP300000-ICE</stp>
        <stp>Implied Volatility</stp>
        <stp>D</stp>
        <stp>14/10/2025 00:00:00</stp>
        <stp/>
        <stp/>
        <stp>-1</stp>
        <tr r="C23" s="2"/>
      </tp>
      <tp>
        <v>32.83</v>
        <stp/>
        <stp>*H</stp>
        <stp>C 26NP300000-ICE</stp>
        <stp>Implied Volatility</stp>
        <stp>D</stp>
        <stp>24/10/2025 00:00:00</stp>
        <stp/>
        <stp/>
        <stp>-1</stp>
        <tr r="C15" s="2"/>
      </tp>
      <tp>
        <v>37.42</v>
        <stp/>
        <stp>*H</stp>
        <stp>C 26NP300000-ICE</stp>
        <stp>Implied Volatility</stp>
        <stp>D</stp>
        <stp>04/09/2025 00:00:00</stp>
        <stp/>
        <stp/>
        <stp>-1</stp>
        <tr r="C51" s="2"/>
      </tp>
      <tp>
        <v>37</v>
        <stp/>
        <stp>*H</stp>
        <stp>C 26NP300000-ICE</stp>
        <stp>Implied Volatility</stp>
        <stp>D</stp>
        <stp>14/08/2025 00:00:00</stp>
        <stp/>
        <stp/>
        <stp>-1</stp>
        <tr r="C64" s="2"/>
      </tp>
      <tp>
        <v>36.119999999999997</v>
        <stp/>
        <stp>*H</stp>
        <stp>C 26NP300000-ICE</stp>
        <stp>Implied Volatility</stp>
        <stp>D</stp>
        <stp>04/08/2025 00:00:00</stp>
        <stp/>
        <stp/>
        <stp>-1</stp>
        <tr r="C72" s="2"/>
      </tp>
      <tp>
        <v>32.36</v>
        <stp/>
        <stp>*H</stp>
        <stp>C 26NP300000-ICE</stp>
        <stp>Implied Volatility</stp>
        <stp>D</stp>
        <stp>24/09/2025 00:00:00</stp>
        <stp/>
        <stp/>
        <stp>-1</stp>
        <tr r="C37" s="2"/>
      </tp>
      <tp>
        <v>32.799999999999997</v>
        <stp/>
        <stp>*H</stp>
        <stp>C 26NP300000-ICE</stp>
        <stp>Implied Volatility</stp>
        <stp>D</stp>
        <stp>24/07/2025 00:00:00</stp>
        <stp/>
        <stp/>
        <stp>-1</stp>
        <tr r="C79" s="2"/>
      </tp>
      <tp>
        <v>30.28</v>
        <stp/>
        <stp>*H</stp>
        <stp>C 26NP300000-ICE</stp>
        <stp>Implied Volatility</stp>
        <stp>D</stp>
        <stp>14/07/2025 00:00:00</stp>
        <stp/>
        <stp/>
        <stp>-1</stp>
        <tr r="C87" s="2"/>
      </tp>
    </main>
    <main first="ixl">
      <tp>
        <v>28.2</v>
        <stp/>
        <stp>*H</stp>
        <stp>C 26UP300000-ICE</stp>
        <stp>Implied Volatility</stp>
        <stp>D</stp>
        <stp>03/11/2025 00:00:00</stp>
        <stp/>
        <stp/>
        <stp>-1</stp>
        <tr r="C9" s="1"/>
      </tp>
      <tp>
        <v>29.62</v>
        <stp/>
        <stp>*H</stp>
        <stp>C 26UP300000-ICE</stp>
        <stp>Implied Volatility</stp>
        <stp>D</stp>
        <stp>13/10/2025 00:00:00</stp>
        <stp/>
        <stp/>
        <stp>-1</stp>
        <tr r="C24" s="1"/>
      </tp>
      <tp>
        <v>29.03</v>
        <stp/>
        <stp>*H</stp>
        <stp>C 26UP300000-ICE</stp>
        <stp>Implied Volatility</stp>
        <stp>D</stp>
        <stp>03/10/2025 00:00:00</stp>
        <stp/>
        <stp/>
        <stp>-1</stp>
        <tr r="C30" s="1"/>
      </tp>
      <tp>
        <v>28.19</v>
        <stp/>
        <stp>*H</stp>
        <stp>C 26UP300000-ICE</stp>
        <stp>Implied Volatility</stp>
        <stp>D</stp>
        <stp>23/10/2025 00:00:00</stp>
        <stp/>
        <stp/>
        <stp>-1</stp>
        <tr r="C16" s="1"/>
      </tp>
      <tp>
        <v>32.26</v>
        <stp/>
        <stp>*H</stp>
        <stp>C 26UP300000-ICE</stp>
        <stp>Implied Volatility</stp>
        <stp>D</stp>
        <stp>03/09/2025 00:00:00</stp>
        <stp/>
        <stp/>
        <stp>-1</stp>
        <tr r="C52" s="1"/>
      </tp>
      <tp>
        <v>33.07</v>
        <stp/>
        <stp>*H</stp>
        <stp>C 26UP300000-ICE</stp>
        <stp>Implied Volatility</stp>
        <stp>D</stp>
        <stp>13/08/2025 00:00:00</stp>
        <stp/>
        <stp/>
        <stp>-1</stp>
        <tr r="C65" s="1"/>
      </tp>
      <tp>
        <v>28.91</v>
        <stp/>
        <stp>*H</stp>
        <stp>C 26UP300000-ICE</stp>
        <stp>Implied Volatility</stp>
        <stp>D</stp>
        <stp>23/09/2025 00:00:00</stp>
        <stp/>
        <stp/>
        <stp>-1</stp>
        <tr r="C38" s="1"/>
      </tp>
      <tp>
        <v>27.74</v>
        <stp/>
        <stp>*H</stp>
        <stp>C 26UP300000-ICE</stp>
        <stp>Implied Volatility</stp>
        <stp>D</stp>
        <stp>23/07/2025 00:00:00</stp>
        <stp/>
        <stp/>
        <stp>-1</stp>
        <tr r="C80" s="1"/>
      </tp>
    </main>
    <main first="ixl">
      <tp>
        <v>34.700000000000003</v>
        <stp/>
        <stp>*H</stp>
        <stp>C 26NP300000-ICE</stp>
        <stp>Implied Volatility</stp>
        <stp>D</stp>
        <stp>03/11/2025 00:00:00</stp>
        <stp/>
        <stp/>
        <stp>-1</stp>
        <tr r="C9" s="2"/>
      </tp>
      <tp>
        <v>32.64</v>
        <stp/>
        <stp>*H</stp>
        <stp>C 26NP300000-ICE</stp>
        <stp>Implied Volatility</stp>
        <stp>D</stp>
        <stp>13/10/2025 00:00:00</stp>
        <stp/>
        <stp/>
        <stp>-1</stp>
        <tr r="C24" s="2"/>
      </tp>
      <tp>
        <v>32.47</v>
        <stp/>
        <stp>*H</stp>
        <stp>C 26NP300000-ICE</stp>
        <stp>Implied Volatility</stp>
        <stp>D</stp>
        <stp>03/10/2025 00:00:00</stp>
        <stp/>
        <stp/>
        <stp>-1</stp>
        <tr r="C30" s="2"/>
      </tp>
      <tp>
        <v>32.89</v>
        <stp/>
        <stp>*H</stp>
        <stp>C 26NP300000-ICE</stp>
        <stp>Implied Volatility</stp>
        <stp>D</stp>
        <stp>23/10/2025 00:00:00</stp>
        <stp/>
        <stp/>
        <stp>-1</stp>
        <tr r="C16" s="2"/>
      </tp>
      <tp>
        <v>37.270000000000003</v>
        <stp/>
        <stp>*H</stp>
        <stp>C 26NP300000-ICE</stp>
        <stp>Implied Volatility</stp>
        <stp>D</stp>
        <stp>03/09/2025 00:00:00</stp>
        <stp/>
        <stp/>
        <stp>-1</stp>
        <tr r="C52" s="2"/>
      </tp>
      <tp>
        <v>39.44</v>
        <stp/>
        <stp>*H</stp>
        <stp>C 26NP300000-ICE</stp>
        <stp>Implied Volatility</stp>
        <stp>D</stp>
        <stp>13/08/2025 00:00:00</stp>
        <stp/>
        <stp/>
        <stp>-1</stp>
        <tr r="C65" s="2"/>
      </tp>
      <tp>
        <v>32.33</v>
        <stp/>
        <stp>*H</stp>
        <stp>C 26NP300000-ICE</stp>
        <stp>Implied Volatility</stp>
        <stp>D</stp>
        <stp>23/09/2025 00:00:00</stp>
        <stp/>
        <stp/>
        <stp>-1</stp>
        <tr r="C38" s="2"/>
      </tp>
      <tp>
        <v>28.87</v>
        <stp/>
        <stp>*H</stp>
        <stp>C 26NP300000-ICE</stp>
        <stp>Implied Volatility</stp>
        <stp>D</stp>
        <stp>23/07/2025 00:00:00</stp>
        <stp/>
        <stp/>
        <stp>-1</stp>
        <tr r="C80" s="2"/>
      </tp>
    </main>
    <main first="ixl">
      <tp>
        <v>29.46</v>
        <stp/>
        <stp>*H</stp>
        <stp>C 26UP300000-ICE</stp>
        <stp>Implied Volatility</stp>
        <stp>D</stp>
        <stp>02/10/2025 00:00:00</stp>
        <stp/>
        <stp/>
        <stp>-1</stp>
        <tr r="C31" s="1"/>
      </tp>
      <tp>
        <v>28.55</v>
        <stp/>
        <stp>*H</stp>
        <stp>C 26UP300000-ICE</stp>
        <stp>Implied Volatility</stp>
        <stp>D</stp>
        <stp>12/11/2025 00:00:00</stp>
        <stp/>
        <stp/>
        <stp>-1</stp>
        <tr r="C2" s="1"/>
      </tp>
      <tp>
        <v>28.13</v>
        <stp/>
        <stp>*H</stp>
        <stp>C 26UP300000-ICE</stp>
        <stp>Implied Volatility</stp>
        <stp>D</stp>
        <stp>22/10/2025 00:00:00</stp>
        <stp/>
        <stp/>
        <stp>-1</stp>
        <tr r="C17" s="1"/>
      </tp>
      <tp>
        <v>32.24</v>
        <stp/>
        <stp>*H</stp>
        <stp>C 26UP300000-ICE</stp>
        <stp>Implied Volatility</stp>
        <stp>D</stp>
        <stp>02/09/2025 00:00:00</stp>
        <stp/>
        <stp/>
        <stp>-1</stp>
        <tr r="C53" s="1"/>
      </tp>
      <tp>
        <v>33.75</v>
        <stp/>
        <stp>*H</stp>
        <stp>C 26UP300000-ICE</stp>
        <stp>Implied Volatility</stp>
        <stp>D</stp>
        <stp>12/08/2025 00:00:00</stp>
        <stp/>
        <stp/>
        <stp>-1</stp>
        <tr r="C66" s="1"/>
      </tp>
      <tp>
        <v>31.84</v>
        <stp/>
        <stp>*H</stp>
        <stp>C 26UP300000-ICE</stp>
        <stp>Implied Volatility</stp>
        <stp>D</stp>
        <stp>12/09/2025 00:00:00</stp>
        <stp/>
        <stp/>
        <stp>-1</stp>
        <tr r="C45" s="1"/>
      </tp>
      <tp>
        <v>28.88</v>
        <stp/>
        <stp>*H</stp>
        <stp>C 26UP300000-ICE</stp>
        <stp>Implied Volatility</stp>
        <stp>D</stp>
        <stp>22/09/2025 00:00:00</stp>
        <stp/>
        <stp/>
        <stp>-1</stp>
        <tr r="C39" s="1"/>
      </tp>
      <tp>
        <v>32.020000000000003</v>
        <stp/>
        <stp>*H</stp>
        <stp>C 26UP300000-ICE</stp>
        <stp>Implied Volatility</stp>
        <stp>D</stp>
        <stp>22/08/2025 00:00:00</stp>
        <stp/>
        <stp/>
        <stp>-1</stp>
        <tr r="C58" s="1"/>
      </tp>
      <tp>
        <v>27.92</v>
        <stp/>
        <stp>*H</stp>
        <stp>C 26UP300000-ICE</stp>
        <stp>Implied Volatility</stp>
        <stp>D</stp>
        <stp>22/07/2025 00:00:00</stp>
        <stp/>
        <stp/>
        <stp>-1</stp>
        <tr r="C81" s="1"/>
      </tp>
      <tp>
        <v>33.1</v>
        <stp/>
        <stp>*H</stp>
        <stp>C 26NP300000-ICE</stp>
        <stp>Implied Volatility</stp>
        <stp>D</stp>
        <stp>02/10/2025 00:00:00</stp>
        <stp/>
        <stp/>
        <stp>-1</stp>
        <tr r="C31" s="2"/>
      </tp>
      <tp>
        <v>32.68</v>
        <stp/>
        <stp>*H</stp>
        <stp>C 26NP300000-ICE</stp>
        <stp>Implied Volatility</stp>
        <stp>D</stp>
        <stp>12/11/2025 00:00:00</stp>
        <stp/>
        <stp/>
        <stp>-1</stp>
        <tr r="C2" s="2"/>
      </tp>
      <tp>
        <v>32.71</v>
        <stp/>
        <stp>*H</stp>
        <stp>C 26NP300000-ICE</stp>
        <stp>Implied Volatility</stp>
        <stp>D</stp>
        <stp>22/10/2025 00:00:00</stp>
        <stp/>
        <stp/>
        <stp>-1</stp>
        <tr r="C17" s="2"/>
      </tp>
      <tp>
        <v>37.26</v>
        <stp/>
        <stp>*H</stp>
        <stp>C 26NP300000-ICE</stp>
        <stp>Implied Volatility</stp>
        <stp>D</stp>
        <stp>02/09/2025 00:00:00</stp>
        <stp/>
        <stp/>
        <stp>-1</stp>
        <tr r="C53" s="2"/>
      </tp>
      <tp>
        <v>39.909999999999997</v>
        <stp/>
        <stp>*H</stp>
        <stp>C 26NP300000-ICE</stp>
        <stp>Implied Volatility</stp>
        <stp>D</stp>
        <stp>12/08/2025 00:00:00</stp>
        <stp/>
        <stp/>
        <stp>-1</stp>
        <tr r="C66" s="2"/>
      </tp>
      <tp>
        <v>34.89</v>
        <stp/>
        <stp>*H</stp>
        <stp>C 26NP300000-ICE</stp>
        <stp>Implied Volatility</stp>
        <stp>D</stp>
        <stp>12/09/2025 00:00:00</stp>
        <stp/>
        <stp/>
        <stp>-1</stp>
        <tr r="C45" s="2"/>
      </tp>
      <tp>
        <v>32.31</v>
        <stp/>
        <stp>*H</stp>
        <stp>C 26NP300000-ICE</stp>
        <stp>Implied Volatility</stp>
        <stp>D</stp>
        <stp>22/09/2025 00:00:00</stp>
        <stp/>
        <stp/>
        <stp>-1</stp>
        <tr r="C39" s="2"/>
      </tp>
      <tp>
        <v>36.299999999999997</v>
        <stp/>
        <stp>*H</stp>
        <stp>C 26NP300000-ICE</stp>
        <stp>Implied Volatility</stp>
        <stp>D</stp>
        <stp>22/08/2025 00:00:00</stp>
        <stp/>
        <stp/>
        <stp>-1</stp>
        <tr r="C58" s="2"/>
      </tp>
      <tp>
        <v>28.85</v>
        <stp/>
        <stp>*H</stp>
        <stp>C 26NP300000-ICE</stp>
        <stp>Implied Volatility</stp>
        <stp>D</stp>
        <stp>22/07/2025 00:00:00</stp>
        <stp/>
        <stp/>
        <stp>-1</stp>
        <tr r="C81" s="2"/>
      </tp>
    </main>
    <main first="ixl">
      <tp>
        <v>30.77</v>
        <stp/>
        <stp>*H</stp>
        <stp>C 26UP300000-ICE</stp>
        <stp>Implied Volatility</stp>
        <stp>D</stp>
        <stp>01/10/2025 00:00:00</stp>
        <stp/>
        <stp/>
        <stp>-1</stp>
        <tr r="C32" s="1"/>
      </tp>
      <tp>
        <v>27.42</v>
        <stp/>
        <stp>*H</stp>
        <stp>C 26UP300000-ICE</stp>
        <stp>Implied Volatility</stp>
        <stp>D</stp>
        <stp>11/11/2025 00:00:00</stp>
        <stp/>
        <stp/>
        <stp>-1</stp>
        <tr r="C3" s="1"/>
      </tp>
      <tp>
        <v>27.93</v>
        <stp/>
        <stp>*H</stp>
        <stp>C 26UP300000-ICE</stp>
        <stp>Implied Volatility</stp>
        <stp>D</stp>
        <stp>31/10/2025 00:00:00</stp>
        <stp/>
        <stp/>
        <stp>-1</stp>
        <tr r="C10" s="1"/>
      </tp>
      <tp>
        <v>27.7</v>
        <stp/>
        <stp>*H</stp>
        <stp>C 26UP300000-ICE</stp>
        <stp>Implied Volatility</stp>
        <stp>D</stp>
        <stp>21/10/2025 00:00:00</stp>
        <stp/>
        <stp/>
        <stp>-1</stp>
        <tr r="C18" s="1"/>
      </tp>
      <tp>
        <v>32.25</v>
        <stp/>
        <stp>*H</stp>
        <stp>C 26UP300000-ICE</stp>
        <stp>Implied Volatility</stp>
        <stp>D</stp>
        <stp>01/09/2025 00:00:00</stp>
        <stp/>
        <stp/>
        <stp>-1</stp>
        <tr r="C54" s="1"/>
      </tp>
      <tp>
        <v>32.68</v>
        <stp/>
        <stp>*H</stp>
        <stp>C 26UP300000-ICE</stp>
        <stp>Implied Volatility</stp>
        <stp>D</stp>
        <stp>11/08/2025 00:00:00</stp>
        <stp/>
        <stp/>
        <stp>-1</stp>
        <tr r="C67" s="1"/>
      </tp>
      <tp>
        <v>31.33</v>
        <stp/>
        <stp>*H</stp>
        <stp>C 26UP300000-ICE</stp>
        <stp>Implied Volatility</stp>
        <stp>D</stp>
        <stp>01/08/2025 00:00:00</stp>
        <stp/>
        <stp/>
        <stp>-1</stp>
        <tr r="C73" s="1"/>
      </tp>
      <tp>
        <v>32.47</v>
        <stp/>
        <stp>*H</stp>
        <stp>C 26UP300000-ICE</stp>
        <stp>Implied Volatility</stp>
        <stp>D</stp>
        <stp>11/09/2025 00:00:00</stp>
        <stp/>
        <stp/>
        <stp>-1</stp>
        <tr r="C46" s="1"/>
      </tp>
      <tp>
        <v>31.88</v>
        <stp/>
        <stp>*H</stp>
        <stp>C 26UP300000-ICE</stp>
        <stp>Implied Volatility</stp>
        <stp>D</stp>
        <stp>21/08/2025 00:00:00</stp>
        <stp/>
        <stp/>
        <stp>-1</stp>
        <tr r="C59" s="1"/>
      </tp>
      <tp>
        <v>27.55</v>
        <stp/>
        <stp>*H</stp>
        <stp>C 26UP300000-ICE</stp>
        <stp>Implied Volatility</stp>
        <stp>D</stp>
        <stp>21/07/2025 00:00:00</stp>
        <stp/>
        <stp/>
        <stp>-1</stp>
        <tr r="C82" s="1"/>
      </tp>
      <tp>
        <v>31.28</v>
        <stp/>
        <stp>*H</stp>
        <stp>C 26UP300000-ICE</stp>
        <stp>Implied Volatility</stp>
        <stp>D</stp>
        <stp>31/07/2025 00:00:00</stp>
        <stp/>
        <stp/>
        <stp>-1</stp>
        <tr r="C74" s="1"/>
      </tp>
    </main>
    <main first="ixl">
      <tp>
        <v>34.89</v>
        <stp/>
        <stp>*H</stp>
        <stp>C 26NP300000-ICE</stp>
        <stp>Implied Volatility</stp>
        <stp>D</stp>
        <stp>01/10/2025 00:00:00</stp>
        <stp/>
        <stp/>
        <stp>-1</stp>
        <tr r="C32" s="2"/>
      </tp>
      <tp>
        <v>32.130000000000003</v>
        <stp/>
        <stp>*H</stp>
        <stp>C 26NP300000-ICE</stp>
        <stp>Implied Volatility</stp>
        <stp>D</stp>
        <stp>11/11/2025 00:00:00</stp>
        <stp/>
        <stp/>
        <stp>-1</stp>
        <tr r="C3" s="2"/>
      </tp>
      <tp>
        <v>33.770000000000003</v>
        <stp/>
        <stp>*H</stp>
        <stp>C 26NP300000-ICE</stp>
        <stp>Implied Volatility</stp>
        <stp>D</stp>
        <stp>31/10/2025 00:00:00</stp>
        <stp/>
        <stp/>
        <stp>-1</stp>
        <tr r="C10" s="2"/>
      </tp>
      <tp>
        <v>32.61</v>
        <stp/>
        <stp>*H</stp>
        <stp>C 26NP300000-ICE</stp>
        <stp>Implied Volatility</stp>
        <stp>D</stp>
        <stp>21/10/2025 00:00:00</stp>
        <stp/>
        <stp/>
        <stp>-1</stp>
        <tr r="C18" s="2"/>
      </tp>
      <tp>
        <v>37.21</v>
        <stp/>
        <stp>*H</stp>
        <stp>C 26NP300000-ICE</stp>
        <stp>Implied Volatility</stp>
        <stp>D</stp>
        <stp>01/09/2025 00:00:00</stp>
        <stp/>
        <stp/>
        <stp>-1</stp>
        <tr r="C54" s="2"/>
      </tp>
      <tp>
        <v>38.49</v>
        <stp/>
        <stp>*H</stp>
        <stp>C 26NP300000-ICE</stp>
        <stp>Implied Volatility</stp>
        <stp>D</stp>
        <stp>11/08/2025 00:00:00</stp>
        <stp/>
        <stp/>
        <stp>-1</stp>
        <tr r="C67" s="2"/>
      </tp>
      <tp>
        <v>36.49</v>
        <stp/>
        <stp>*H</stp>
        <stp>C 26NP300000-ICE</stp>
        <stp>Implied Volatility</stp>
        <stp>D</stp>
        <stp>01/08/2025 00:00:00</stp>
        <stp/>
        <stp/>
        <stp>-1</stp>
        <tr r="C73" s="2"/>
      </tp>
      <tp>
        <v>35.93</v>
        <stp/>
        <stp>*H</stp>
        <stp>C 26NP300000-ICE</stp>
        <stp>Implied Volatility</stp>
        <stp>D</stp>
        <stp>11/09/2025 00:00:00</stp>
        <stp/>
        <stp/>
        <stp>-1</stp>
        <tr r="C46" s="2"/>
      </tp>
      <tp>
        <v>36.200000000000003</v>
        <stp/>
        <stp>*H</stp>
        <stp>C 26NP300000-ICE</stp>
        <stp>Implied Volatility</stp>
        <stp>D</stp>
        <stp>21/08/2025 00:00:00</stp>
        <stp/>
        <stp/>
        <stp>-1</stp>
        <tr r="C59" s="2"/>
      </tp>
      <tp>
        <v>28.13</v>
        <stp/>
        <stp>*H</stp>
        <stp>C 26NP300000-ICE</stp>
        <stp>Implied Volatility</stp>
        <stp>D</stp>
        <stp>21/07/2025 00:00:00</stp>
        <stp/>
        <stp/>
        <stp>-1</stp>
        <tr r="C82" s="2"/>
      </tp>
      <tp>
        <v>36.53</v>
        <stp/>
        <stp>*H</stp>
        <stp>C 26NP300000-ICE</stp>
        <stp>Implied Volatility</stp>
        <stp>D</stp>
        <stp>31/07/2025 00:00:00</stp>
        <stp/>
        <stp/>
        <stp>-1</stp>
        <tr r="C74" s="2"/>
      </tp>
    </main>
    <main first="ixl">
      <tp>
        <v>30.76</v>
        <stp/>
        <stp>*H</stp>
        <stp>C 26UP300000-ICE</stp>
        <stp>Implied Volatility</stp>
        <stp>D</stp>
        <stp>10/10/2025 00:00:00</stp>
        <stp/>
        <stp/>
        <stp>-1</stp>
        <tr r="C25" s="1"/>
      </tp>
      <tp>
        <v>27.16</v>
        <stp/>
        <stp>*H</stp>
        <stp>C 26UP300000-ICE</stp>
        <stp>Implied Volatility</stp>
        <stp>D</stp>
        <stp>10/11/2025 00:00:00</stp>
        <stp/>
        <stp/>
        <stp>-1</stp>
        <tr r="C4" s="1"/>
      </tp>
      <tp>
        <v>26.46</v>
        <stp/>
        <stp>*H</stp>
        <stp>C 26UP300000-ICE</stp>
        <stp>Implied Volatility</stp>
        <stp>D</stp>
        <stp>30/10/2025 00:00:00</stp>
        <stp/>
        <stp/>
        <stp>-1</stp>
        <tr r="C11" s="1"/>
      </tp>
      <tp>
        <v>28.23</v>
        <stp/>
        <stp>*H</stp>
        <stp>C 26UP300000-ICE</stp>
        <stp>Implied Volatility</stp>
        <stp>D</stp>
        <stp>20/10/2025 00:00:00</stp>
        <stp/>
        <stp/>
        <stp>-1</stp>
        <tr r="C19" s="1"/>
      </tp>
      <tp>
        <v>32.479999999999997</v>
        <stp/>
        <stp>*H</stp>
        <stp>C 26UP300000-ICE</stp>
        <stp>Implied Volatility</stp>
        <stp>D</stp>
        <stp>10/09/2025 00:00:00</stp>
        <stp/>
        <stp/>
        <stp>-1</stp>
        <tr r="C47" s="1"/>
      </tp>
      <tp>
        <v>32.869999999999997</v>
        <stp/>
        <stp>*H</stp>
        <stp>C 26UP300000-ICE</stp>
        <stp>Implied Volatility</stp>
        <stp>D</stp>
        <stp>20/08/2025 00:00:00</stp>
        <stp/>
        <stp/>
        <stp>-1</stp>
        <tr r="C60" s="1"/>
      </tp>
      <tp>
        <v>30.76</v>
        <stp/>
        <stp>*H</stp>
        <stp>C 26UP300000-ICE</stp>
        <stp>Implied Volatility</stp>
        <stp>D</stp>
        <stp>30/09/2025 00:00:00</stp>
        <stp/>
        <stp/>
        <stp>-1</stp>
        <tr r="C33" s="1"/>
      </tp>
      <tp>
        <v>29.58</v>
        <stp/>
        <stp>*H</stp>
        <stp>C 26UP300000-ICE</stp>
        <stp>Implied Volatility</stp>
        <stp>D</stp>
        <stp>30/07/2025 00:00:00</stp>
        <stp/>
        <stp/>
        <stp>-1</stp>
        <tr r="C75" s="1"/>
      </tp>
    </main>
    <main first="ixl">
      <tp>
        <v>33.630000000000003</v>
        <stp/>
        <stp>*H</stp>
        <stp>C 26NP300000-ICE</stp>
        <stp>Implied Volatility</stp>
        <stp>D</stp>
        <stp>10/10/2025 00:00:00</stp>
        <stp/>
        <stp/>
        <stp>-1</stp>
        <tr r="C25" s="2"/>
      </tp>
      <tp>
        <v>32.75</v>
        <stp/>
        <stp>*H</stp>
        <stp>C 26NP300000-ICE</stp>
        <stp>Implied Volatility</stp>
        <stp>D</stp>
        <stp>10/11/2025 00:00:00</stp>
        <stp/>
        <stp/>
        <stp>-1</stp>
        <tr r="C4" s="2"/>
      </tp>
      <tp>
        <v>32.25</v>
        <stp/>
        <stp>*H</stp>
        <stp>C 26NP300000-ICE</stp>
        <stp>Implied Volatility</stp>
        <stp>D</stp>
        <stp>30/10/2025 00:00:00</stp>
        <stp/>
        <stp/>
        <stp>-1</stp>
        <tr r="C11" s="2"/>
      </tp>
      <tp>
        <v>32.659999999999997</v>
        <stp/>
        <stp>*H</stp>
        <stp>C 26NP300000-ICE</stp>
        <stp>Implied Volatility</stp>
        <stp>D</stp>
        <stp>20/10/2025 00:00:00</stp>
        <stp/>
        <stp/>
        <stp>-1</stp>
        <tr r="C19" s="2"/>
      </tp>
      <tp>
        <v>37.43</v>
        <stp/>
        <stp>*H</stp>
        <stp>C 26NP300000-ICE</stp>
        <stp>Implied Volatility</stp>
        <stp>D</stp>
        <stp>10/09/2025 00:00:00</stp>
        <stp/>
        <stp/>
        <stp>-1</stp>
        <tr r="C47" s="2"/>
      </tp>
      <tp>
        <v>37.46</v>
        <stp/>
        <stp>*H</stp>
        <stp>C 26NP300000-ICE</stp>
        <stp>Implied Volatility</stp>
        <stp>D</stp>
        <stp>20/08/2025 00:00:00</stp>
        <stp/>
        <stp/>
        <stp>-1</stp>
        <tr r="C60" s="2"/>
      </tp>
      <tp>
        <v>34.94</v>
        <stp/>
        <stp>*H</stp>
        <stp>C 26NP300000-ICE</stp>
        <stp>Implied Volatility</stp>
        <stp>D</stp>
        <stp>30/09/2025 00:00:00</stp>
        <stp/>
        <stp/>
        <stp>-1</stp>
        <tr r="C33" s="2"/>
      </tp>
      <tp>
        <v>34.56</v>
        <stp/>
        <stp>*H</stp>
        <stp>C 26NP300000-ICE</stp>
        <stp>Implied Volatility</stp>
        <stp>D</stp>
        <stp>30/07/2025 00:00:00</stp>
        <stp/>
        <stp/>
        <stp>-1</stp>
        <tr r="C75" s="2"/>
      </tp>
    </main>
    <main first="ixl">
      <tp>
        <v>31.37</v>
        <stp/>
        <stp>*H</stp>
        <stp>C 26UP300000-ICE</stp>
        <stp>Implied Volatility</stp>
        <stp>D</stp>
        <stp>09/10/2025 00:00:00</stp>
        <stp/>
        <stp/>
        <stp>-1</stp>
        <tr r="C26" s="1"/>
      </tp>
      <tp>
        <v>27.2</v>
        <stp/>
        <stp>*H</stp>
        <stp>C 26UP300000-ICE</stp>
        <stp>Implied Volatility</stp>
        <stp>D</stp>
        <stp>29/10/2025 00:00:00</stp>
        <stp/>
        <stp/>
        <stp>-1</stp>
        <tr r="C12" s="1"/>
      </tp>
      <tp>
        <v>32.39</v>
        <stp/>
        <stp>*H</stp>
        <stp>C 26UP300000-ICE</stp>
        <stp>Implied Volatility</stp>
        <stp>D</stp>
        <stp>09/09/2025 00:00:00</stp>
        <stp/>
        <stp/>
        <stp>-1</stp>
        <tr r="C48" s="1"/>
      </tp>
      <tp>
        <v>31.44</v>
        <stp/>
        <stp>*H</stp>
        <stp>C 26UP300000-ICE</stp>
        <stp>Implied Volatility</stp>
        <stp>D</stp>
        <stp>19/08/2025 00:00:00</stp>
        <stp/>
        <stp/>
        <stp>-1</stp>
        <tr r="C61" s="1"/>
      </tp>
      <tp>
        <v>28.81</v>
        <stp/>
        <stp>*H</stp>
        <stp>C 26UP300000-ICE</stp>
        <stp>Implied Volatility</stp>
        <stp>D</stp>
        <stp>19/09/2025 00:00:00</stp>
        <stp/>
        <stp/>
        <stp>-1</stp>
        <tr r="C40" s="1"/>
      </tp>
      <tp>
        <v>29.41</v>
        <stp/>
        <stp>*H</stp>
        <stp>C 26UP300000-ICE</stp>
        <stp>Implied Volatility</stp>
        <stp>D</stp>
        <stp>29/09/2025 00:00:00</stp>
        <stp/>
        <stp/>
        <stp>-1</stp>
        <tr r="C34" s="1"/>
      </tp>
      <tp>
        <v>32.19</v>
        <stp/>
        <stp>*H</stp>
        <stp>C 26UP300000-ICE</stp>
        <stp>Implied Volatility</stp>
        <stp>D</stp>
        <stp>29/08/2025 00:00:00</stp>
        <stp/>
        <stp/>
        <stp>-1</stp>
        <tr r="C55" s="1"/>
      </tp>
      <tp>
        <v>29.58</v>
        <stp/>
        <stp>*H</stp>
        <stp>C 26UP300000-ICE</stp>
        <stp>Implied Volatility</stp>
        <stp>D</stp>
        <stp>29/07/2025 00:00:00</stp>
        <stp/>
        <stp/>
        <stp>-1</stp>
        <tr r="C76" s="1"/>
      </tp>
      <tp>
        <v>34.35</v>
        <stp/>
        <stp>*H</stp>
        <stp>C 26NP300000-ICE</stp>
        <stp>Implied Volatility</stp>
        <stp>D</stp>
        <stp>09/10/2025 00:00:00</stp>
        <stp/>
        <stp/>
        <stp>-1</stp>
        <tr r="C26" s="2"/>
      </tp>
      <tp>
        <v>31.9</v>
        <stp/>
        <stp>*H</stp>
        <stp>C 26NP300000-ICE</stp>
        <stp>Implied Volatility</stp>
        <stp>D</stp>
        <stp>29/10/2025 00:00:00</stp>
        <stp/>
        <stp/>
        <stp>-1</stp>
        <tr r="C12" s="2"/>
      </tp>
      <tp>
        <v>37.11</v>
        <stp/>
        <stp>*H</stp>
        <stp>C 26NP300000-ICE</stp>
        <stp>Implied Volatility</stp>
        <stp>D</stp>
        <stp>09/09/2025 00:00:00</stp>
        <stp/>
        <stp/>
        <stp>-1</stp>
        <tr r="C48" s="2"/>
      </tp>
      <tp>
        <v>36.36</v>
        <stp/>
        <stp>*H</stp>
        <stp>C 26NP300000-ICE</stp>
        <stp>Implied Volatility</stp>
        <stp>D</stp>
        <stp>19/08/2025 00:00:00</stp>
        <stp/>
        <stp/>
        <stp>-1</stp>
        <tr r="C61" s="2"/>
      </tp>
      <tp>
        <v>32.26</v>
        <stp/>
        <stp>*H</stp>
        <stp>C 26NP300000-ICE</stp>
        <stp>Implied Volatility</stp>
        <stp>D</stp>
        <stp>19/09/2025 00:00:00</stp>
        <stp/>
        <stp/>
        <stp>-1</stp>
        <tr r="C40" s="2"/>
      </tp>
      <tp>
        <v>33.81</v>
        <stp/>
        <stp>*H</stp>
        <stp>C 26NP300000-ICE</stp>
        <stp>Implied Volatility</stp>
        <stp>D</stp>
        <stp>29/09/2025 00:00:00</stp>
        <stp/>
        <stp/>
        <stp>-1</stp>
        <tr r="C34" s="2"/>
      </tp>
      <tp>
        <v>37.18</v>
        <stp/>
        <stp>*H</stp>
        <stp>C 26NP300000-ICE</stp>
        <stp>Implied Volatility</stp>
        <stp>D</stp>
        <stp>29/08/2025 00:00:00</stp>
        <stp/>
        <stp/>
        <stp>-1</stp>
        <tr r="C55" s="2"/>
      </tp>
      <tp>
        <v>34.51</v>
        <stp/>
        <stp>*H</stp>
        <stp>C 26NP300000-ICE</stp>
        <stp>Implied Volatility</stp>
        <stp>D</stp>
        <stp>29/07/2025 00:00:00</stp>
        <stp/>
        <stp/>
        <stp>-1</stp>
        <tr r="C76" s="2"/>
      </tp>
    </main>
    <main first="ixl">
      <tp>
        <v>29.78</v>
        <stp/>
        <stp>*H</stp>
        <stp>C 26UP300000-ICE</stp>
        <stp>Implied Volatility</stp>
        <stp>D</stp>
        <stp>08/10/2025 00:00:00</stp>
        <stp/>
        <stp/>
        <stp>-1</stp>
        <tr r="C27" s="1"/>
      </tp>
      <tp>
        <v>27.7</v>
        <stp/>
        <stp>*H</stp>
        <stp>C 26UP300000-ICE</stp>
        <stp>Implied Volatility</stp>
        <stp>D</stp>
        <stp>28/10/2025 00:00:00</stp>
        <stp/>
        <stp/>
        <stp>-1</stp>
        <tr r="C13" s="1"/>
      </tp>
      <tp>
        <v>32.78</v>
        <stp/>
        <stp>*H</stp>
        <stp>C 26UP300000-ICE</stp>
        <stp>Implied Volatility</stp>
        <stp>D</stp>
        <stp>08/09/2025 00:00:00</stp>
        <stp/>
        <stp/>
        <stp>-1</stp>
        <tr r="C49" s="1"/>
      </tp>
      <tp>
        <v>31.65</v>
        <stp/>
        <stp>*H</stp>
        <stp>C 26UP300000-ICE</stp>
        <stp>Implied Volatility</stp>
        <stp>D</stp>
        <stp>18/08/2025 00:00:00</stp>
        <stp/>
        <stp/>
        <stp>-1</stp>
        <tr r="C62" s="1"/>
      </tp>
      <tp>
        <v>31.74</v>
        <stp/>
        <stp>*H</stp>
        <stp>C 26UP300000-ICE</stp>
        <stp>Implied Volatility</stp>
        <stp>D</stp>
        <stp>08/08/2025 00:00:00</stp>
        <stp/>
        <stp/>
        <stp>-1</stp>
        <tr r="C68" s="1"/>
      </tp>
      <tp>
        <v>28.49</v>
        <stp/>
        <stp>*H</stp>
        <stp>C 26UP300000-ICE</stp>
        <stp>Implied Volatility</stp>
        <stp>D</stp>
        <stp>18/09/2025 00:00:00</stp>
        <stp/>
        <stp/>
        <stp>-1</stp>
        <tr r="C41" s="1"/>
      </tp>
      <tp>
        <v>32.200000000000003</v>
        <stp/>
        <stp>*H</stp>
        <stp>C 26UP300000-ICE</stp>
        <stp>Implied Volatility</stp>
        <stp>D</stp>
        <stp>28/08/2025 00:00:00</stp>
        <stp/>
        <stp/>
        <stp>-1</stp>
        <tr r="C56" s="1"/>
      </tp>
      <tp>
        <v>29.29</v>
        <stp/>
        <stp>*H</stp>
        <stp>C 26UP300000-ICE</stp>
        <stp>Implied Volatility</stp>
        <stp>D</stp>
        <stp>28/07/2025 00:00:00</stp>
        <stp/>
        <stp/>
        <stp>-1</stp>
        <tr r="C77" s="1"/>
      </tp>
      <tp>
        <v>28.19</v>
        <stp/>
        <stp>*H</stp>
        <stp>C 26UP300000-ICE</stp>
        <stp>Implied Volatility</stp>
        <stp>D</stp>
        <stp>18/07/2025 00:00:00</stp>
        <stp/>
        <stp/>
        <stp>-1</stp>
        <tr r="C83" s="1"/>
      </tp>
    </main>
    <main first="ixl">
      <tp>
        <v>33.090000000000003</v>
        <stp/>
        <stp>*H</stp>
        <stp>C 26NP300000-ICE</stp>
        <stp>Implied Volatility</stp>
        <stp>D</stp>
        <stp>08/10/2025 00:00:00</stp>
        <stp/>
        <stp/>
        <stp>-1</stp>
        <tr r="C27" s="2"/>
      </tp>
      <tp>
        <v>32.479999999999997</v>
        <stp/>
        <stp>*H</stp>
        <stp>C 26NP300000-ICE</stp>
        <stp>Implied Volatility</stp>
        <stp>D</stp>
        <stp>28/10/2025 00:00:00</stp>
        <stp/>
        <stp/>
        <stp>-1</stp>
        <tr r="C13" s="2"/>
      </tp>
      <tp>
        <v>37.479999999999997</v>
        <stp/>
        <stp>*H</stp>
        <stp>C 26NP300000-ICE</stp>
        <stp>Implied Volatility</stp>
        <stp>D</stp>
        <stp>08/09/2025 00:00:00</stp>
        <stp/>
        <stp/>
        <stp>-1</stp>
        <tr r="C49" s="2"/>
      </tp>
      <tp>
        <v>36.53</v>
        <stp/>
        <stp>*H</stp>
        <stp>C 26NP300000-ICE</stp>
        <stp>Implied Volatility</stp>
        <stp>D</stp>
        <stp>18/08/2025 00:00:00</stp>
        <stp/>
        <stp/>
        <stp>-1</stp>
        <tr r="C62" s="2"/>
      </tp>
      <tp>
        <v>37.18</v>
        <stp/>
        <stp>*H</stp>
        <stp>C 26NP300000-ICE</stp>
        <stp>Implied Volatility</stp>
        <stp>D</stp>
        <stp>08/08/2025 00:00:00</stp>
        <stp/>
        <stp/>
        <stp>-1</stp>
        <tr r="C68" s="2"/>
      </tp>
      <tp>
        <v>32.200000000000003</v>
        <stp/>
        <stp>*H</stp>
        <stp>C 26NP300000-ICE</stp>
        <stp>Implied Volatility</stp>
        <stp>D</stp>
        <stp>18/09/2025 00:00:00</stp>
        <stp/>
        <stp/>
        <stp>-1</stp>
        <tr r="C41" s="2"/>
      </tp>
      <tp>
        <v>37.18</v>
        <stp/>
        <stp>*H</stp>
        <stp>C 26NP300000-ICE</stp>
        <stp>Implied Volatility</stp>
        <stp>D</stp>
        <stp>28/08/2025 00:00:00</stp>
        <stp/>
        <stp/>
        <stp>-1</stp>
        <tr r="C56" s="2"/>
      </tp>
      <tp>
        <v>34.28</v>
        <stp/>
        <stp>*H</stp>
        <stp>C 26NP300000-ICE</stp>
        <stp>Implied Volatility</stp>
        <stp>D</stp>
        <stp>28/07/2025 00:00:00</stp>
        <stp/>
        <stp/>
        <stp>-1</stp>
        <tr r="C77" s="2"/>
      </tp>
      <tp>
        <v>28.88</v>
        <stp/>
        <stp>*H</stp>
        <stp>C 26NP300000-ICE</stp>
        <stp>Implied Volatility</stp>
        <stp>D</stp>
        <stp>18/07/2025 00:00:00</stp>
        <stp/>
        <stp/>
        <stp>-1</stp>
        <tr r="C83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A3F3-4393-49AD-BA05-55D58FA87FA7}">
  <dimension ref="A1:H87"/>
  <sheetViews>
    <sheetView workbookViewId="0">
      <selection activeCell="I18" sqref="I18"/>
    </sheetView>
  </sheetViews>
  <sheetFormatPr defaultRowHeight="15" x14ac:dyDescent="0.25"/>
  <cols>
    <col min="1" max="1" width="10.42578125" style="1" bestFit="1" customWidth="1"/>
    <col min="2" max="2" width="16.5703125" bestFit="1" customWidth="1"/>
    <col min="5" max="5" width="10.42578125" bestFit="1" customWidth="1"/>
    <col min="8" max="8" width="10.425781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/>
    </row>
    <row r="2" spans="1:8" x14ac:dyDescent="0.25">
      <c r="A2" s="1">
        <v>45973</v>
      </c>
      <c r="B2">
        <f>_xll.ICEHistory("C 26UP300000-ICE","Last","D",A2,,,-1)</f>
        <v>40</v>
      </c>
      <c r="C2">
        <f>_xll.ICEHistory("C 26UP300000-ICE","Implied Volatility","D",A2,,,-1)</f>
        <v>28.55</v>
      </c>
      <c r="D2">
        <f>_xll.ICEHistory("C 26UP300000-ICE","Open Interest","D",A2,,,-1)</f>
        <v>250</v>
      </c>
      <c r="E2">
        <f>_xll.ICEHistory("C 26U-ICE","Last","D",A2,,,-1)</f>
        <v>4181</v>
      </c>
      <c r="F2">
        <v>289</v>
      </c>
    </row>
    <row r="3" spans="1:8" x14ac:dyDescent="0.25">
      <c r="A3" s="1">
        <v>45972</v>
      </c>
      <c r="B3">
        <f>_xll.ICEHistory("C 26UP300000-ICE","Last","D",A3,,,-1)</f>
        <v>36</v>
      </c>
      <c r="C3">
        <f>_xll.ICEHistory("C 26UP300000-ICE","Implied Volatility","D",A3,,,-1)</f>
        <v>27.42</v>
      </c>
      <c r="D3">
        <f>_xll.ICEHistory("C 26UP300000-ICE","Open Interest","D",A3,,,-1)</f>
        <v>250</v>
      </c>
      <c r="E3">
        <f>_xll.ICEHistory("C 26U-ICE","Last","D",A3,,,-1)</f>
        <v>4168</v>
      </c>
      <c r="F3">
        <v>290</v>
      </c>
    </row>
    <row r="4" spans="1:8" x14ac:dyDescent="0.25">
      <c r="A4" s="1">
        <v>45971</v>
      </c>
      <c r="B4">
        <f>_xll.ICEHistory("C 26UP300000-ICE","Last","D",A4,,,-1)</f>
        <v>24</v>
      </c>
      <c r="C4">
        <f>_xll.ICEHistory("C 26UP300000-ICE","Implied Volatility","D",A4,,,-1)</f>
        <v>27.16</v>
      </c>
      <c r="D4">
        <f>_xll.ICEHistory("C 26UP300000-ICE","Open Interest","D",A4,,,-1)</f>
        <v>250</v>
      </c>
      <c r="E4">
        <f>_xll.ICEHistory("C 26U-ICE","Last","D",A4,,,-1)</f>
        <v>4352</v>
      </c>
      <c r="F4">
        <v>291</v>
      </c>
    </row>
    <row r="5" spans="1:8" x14ac:dyDescent="0.25">
      <c r="A5" s="1">
        <v>45968</v>
      </c>
      <c r="B5">
        <f>_xll.ICEHistory("C 26UP300000-ICE","Last","D",A5,,,-1)</f>
        <v>30</v>
      </c>
      <c r="C5">
        <f>_xll.ICEHistory("C 26UP300000-ICE","Implied Volatility","D",A5,,,-1)</f>
        <v>27.91</v>
      </c>
      <c r="D5">
        <f>_xll.ICEHistory("C 26UP300000-ICE","Open Interest","D",A5,,,-1)</f>
        <v>250</v>
      </c>
      <c r="E5">
        <f>_xll.ICEHistory("C 26U-ICE","Last","D",A5,,,-1)</f>
        <v>4311</v>
      </c>
      <c r="F5">
        <v>294</v>
      </c>
    </row>
    <row r="6" spans="1:8" x14ac:dyDescent="0.25">
      <c r="A6" s="1">
        <v>45967</v>
      </c>
      <c r="B6">
        <f>_xll.ICEHistory("C 26UP300000-ICE","Last","D",A6,,,-1)</f>
        <v>25</v>
      </c>
      <c r="C6">
        <f>_xll.ICEHistory("C 26UP300000-ICE","Implied Volatility","D",A6,,,-1)</f>
        <v>28.33</v>
      </c>
      <c r="D6">
        <f>_xll.ICEHistory("C 26UP300000-ICE","Open Interest","D",A6,,,-1)</f>
        <v>250</v>
      </c>
      <c r="E6">
        <f>_xll.ICEHistory("C 26U-ICE","Last","D",A6,,,-1)</f>
        <v>4437</v>
      </c>
      <c r="F6">
        <v>295</v>
      </c>
    </row>
    <row r="7" spans="1:8" x14ac:dyDescent="0.25">
      <c r="A7" s="1">
        <v>45966</v>
      </c>
      <c r="B7">
        <f>_xll.ICEHistory("C 26UP300000-ICE","Last","D",A7,,,-1)</f>
        <v>19</v>
      </c>
      <c r="C7">
        <f>_xll.ICEHistory("C 26UP300000-ICE","Implied Volatility","D",A7,,,-1)</f>
        <v>28.98</v>
      </c>
      <c r="D7">
        <f>_xll.ICEHistory("C 26UP300000-ICE","Open Interest","D",A7,,,-1)</f>
        <v>250</v>
      </c>
      <c r="E7">
        <f>_xll.ICEHistory("C 26U-ICE","Last","D",A7,,,-1)</f>
        <v>4631</v>
      </c>
      <c r="F7">
        <v>296</v>
      </c>
    </row>
    <row r="8" spans="1:8" x14ac:dyDescent="0.25">
      <c r="A8" s="1">
        <v>45965</v>
      </c>
      <c r="B8">
        <f>_xll.ICEHistory("C 26UP300000-ICE","Last","D",A8,,,-1)</f>
        <v>16</v>
      </c>
      <c r="C8">
        <f>_xll.ICEHistory("C 26UP300000-ICE","Implied Volatility","D",A8,,,-1)</f>
        <v>29.31</v>
      </c>
      <c r="D8">
        <f>_xll.ICEHistory("C 26UP300000-ICE","Open Interest","D",A8,,,-1)</f>
        <v>250</v>
      </c>
      <c r="E8">
        <f>_xll.ICEHistory("C 26U-ICE","Last","D",A8,,,-1)</f>
        <v>4781</v>
      </c>
      <c r="F8">
        <v>297</v>
      </c>
    </row>
    <row r="9" spans="1:8" x14ac:dyDescent="0.25">
      <c r="A9" s="1">
        <v>45964</v>
      </c>
      <c r="B9">
        <f>_xll.ICEHistory("C 26UP300000-ICE","Last","D",A9,,,-1)</f>
        <v>14</v>
      </c>
      <c r="C9">
        <f>_xll.ICEHistory("C 26UP300000-ICE","Implied Volatility","D",A9,,,-1)</f>
        <v>28.2</v>
      </c>
      <c r="D9">
        <f>_xll.ICEHistory("C 26UP300000-ICE","Open Interest","D",A9,,,-1)</f>
        <v>250</v>
      </c>
      <c r="E9">
        <f>_xll.ICEHistory("C 26U-ICE","Last","D",A9,,,-1)</f>
        <v>4716</v>
      </c>
      <c r="F9">
        <v>298</v>
      </c>
    </row>
    <row r="10" spans="1:8" x14ac:dyDescent="0.25">
      <c r="A10" s="1">
        <v>45961</v>
      </c>
      <c r="B10">
        <f>_xll.ICEHistory("C 26UP300000-ICE","Last","D",A10,,,-1)</f>
        <v>25</v>
      </c>
      <c r="C10">
        <f>_xll.ICEHistory("C 26UP300000-ICE","Implied Volatility","D",A10,,,-1)</f>
        <v>27.93</v>
      </c>
      <c r="D10">
        <f>_xll.ICEHistory("C 26UP300000-ICE","Open Interest","D",A10,,,-1)</f>
        <v>250</v>
      </c>
      <c r="E10">
        <f>_xll.ICEHistory("C 26U-ICE","Last","D",A10,,,-1)</f>
        <v>4422</v>
      </c>
      <c r="F10">
        <v>301</v>
      </c>
    </row>
    <row r="11" spans="1:8" x14ac:dyDescent="0.25">
      <c r="A11" s="1">
        <v>45960</v>
      </c>
      <c r="B11">
        <f>_xll.ICEHistory("C 26UP300000-ICE","Last","D",A11,,,-1)</f>
        <v>25</v>
      </c>
      <c r="C11">
        <f>_xll.ICEHistory("C 26UP300000-ICE","Implied Volatility","D",A11,,,-1)</f>
        <v>26.46</v>
      </c>
      <c r="D11">
        <f>_xll.ICEHistory("C 26UP300000-ICE","Open Interest","D",A11,,,-1)</f>
        <v>250</v>
      </c>
      <c r="E11">
        <f>_xll.ICEHistory("C 26U-ICE","Last","D",A11,,,-1)</f>
        <v>4314</v>
      </c>
      <c r="F11">
        <v>302</v>
      </c>
    </row>
    <row r="12" spans="1:8" x14ac:dyDescent="0.25">
      <c r="A12" s="1">
        <v>45959</v>
      </c>
      <c r="B12">
        <f>_xll.ICEHistory("C 26UP300000-ICE","Last","D",A12,,,-1)</f>
        <v>29</v>
      </c>
      <c r="C12">
        <f>_xll.ICEHistory("C 26UP300000-ICE","Implied Volatility","D",A12,,,-1)</f>
        <v>27.2</v>
      </c>
      <c r="D12">
        <f>_xll.ICEHistory("C 26UP300000-ICE","Open Interest","D",A12,,,-1)</f>
        <v>250</v>
      </c>
      <c r="E12">
        <f>_xll.ICEHistory("C 26U-ICE","Last","D",A12,,,-1)</f>
        <v>4295</v>
      </c>
      <c r="F12">
        <v>303</v>
      </c>
    </row>
    <row r="13" spans="1:8" x14ac:dyDescent="0.25">
      <c r="A13" s="1">
        <v>45958</v>
      </c>
      <c r="B13">
        <f>_xll.ICEHistory("C 26UP300000-ICE","Last","D",A13,,,-1)</f>
        <v>37</v>
      </c>
      <c r="C13">
        <f>_xll.ICEHistory("C 26UP300000-ICE","Implied Volatility","D",A13,,,-1)</f>
        <v>27.7</v>
      </c>
      <c r="D13">
        <f>_xll.ICEHistory("C 26UP300000-ICE","Open Interest","D",A13,,,-1)</f>
        <v>250</v>
      </c>
      <c r="E13">
        <f>_xll.ICEHistory("C 26U-ICE","Last","D",A13,,,-1)</f>
        <v>4218</v>
      </c>
      <c r="F13">
        <v>304</v>
      </c>
    </row>
    <row r="14" spans="1:8" x14ac:dyDescent="0.25">
      <c r="A14" s="1">
        <v>45957</v>
      </c>
      <c r="B14">
        <f>_xll.ICEHistory("C 26UP300000-ICE","Last","D",A14,,,-1)</f>
        <v>27</v>
      </c>
      <c r="C14">
        <f>_xll.ICEHistory("C 26UP300000-ICE","Implied Volatility","D",A14,,,-1)</f>
        <v>26.96</v>
      </c>
      <c r="D14">
        <f>_xll.ICEHistory("C 26UP300000-ICE","Open Interest","D",A14,,,-1)</f>
        <v>250</v>
      </c>
      <c r="E14">
        <f>_xll.ICEHistory("C 26U-ICE","Last","D",A14,,,-1)</f>
        <v>4317</v>
      </c>
      <c r="F14">
        <v>305</v>
      </c>
    </row>
    <row r="15" spans="1:8" x14ac:dyDescent="0.25">
      <c r="A15" s="1">
        <v>45954</v>
      </c>
      <c r="B15">
        <f>_xll.ICEHistory("C 26UP300000-ICE","Last","D",A15,,,-1)</f>
        <v>24</v>
      </c>
      <c r="C15">
        <f>_xll.ICEHistory("C 26UP300000-ICE","Implied Volatility","D",A15,,,-1)</f>
        <v>28.17</v>
      </c>
      <c r="D15">
        <f>_xll.ICEHistory("C 26UP300000-ICE","Open Interest","D",A15,,,-1)</f>
        <v>250</v>
      </c>
      <c r="E15">
        <f>_xll.ICEHistory("C 26U-ICE","Last","D",A15,,,-1)</f>
        <v>4489</v>
      </c>
      <c r="F15">
        <v>308</v>
      </c>
    </row>
    <row r="16" spans="1:8" x14ac:dyDescent="0.25">
      <c r="A16" s="1">
        <v>45953</v>
      </c>
      <c r="B16">
        <f>_xll.ICEHistory("C 26UP300000-ICE","Last","D",A16,,,-1)</f>
        <v>24</v>
      </c>
      <c r="C16">
        <f>_xll.ICEHistory("C 26UP300000-ICE","Implied Volatility","D",A16,,,-1)</f>
        <v>28.19</v>
      </c>
      <c r="D16">
        <f>_xll.ICEHistory("C 26UP300000-ICE","Open Interest","D",A16,,,-1)</f>
        <v>250</v>
      </c>
      <c r="E16">
        <f>_xll.ICEHistory("C 26U-ICE","Last","D",A16,,,-1)</f>
        <v>4502</v>
      </c>
      <c r="F16">
        <v>309</v>
      </c>
    </row>
    <row r="17" spans="1:6" x14ac:dyDescent="0.25">
      <c r="A17" s="1">
        <v>45952</v>
      </c>
      <c r="B17">
        <f>_xll.ICEHistory("C 26UP300000-ICE","Last","D",A17,,,-1)</f>
        <v>25</v>
      </c>
      <c r="C17">
        <f>_xll.ICEHistory("C 26UP300000-ICE","Implied Volatility","D",A17,,,-1)</f>
        <v>28.13</v>
      </c>
      <c r="D17">
        <f>_xll.ICEHistory("C 26UP300000-ICE","Open Interest","D",A17,,,-1)</f>
        <v>250</v>
      </c>
      <c r="E17">
        <f>_xll.ICEHistory("C 26U-ICE","Last","D",A17,,,-1)</f>
        <v>4473</v>
      </c>
      <c r="F17">
        <v>310</v>
      </c>
    </row>
    <row r="18" spans="1:6" x14ac:dyDescent="0.25">
      <c r="A18" s="1">
        <v>45951</v>
      </c>
      <c r="B18">
        <f>_xll.ICEHistory("C 26UP300000-ICE","Last","D",A18,,,-1)</f>
        <v>41</v>
      </c>
      <c r="C18">
        <f>_xll.ICEHistory("C 26UP300000-ICE","Implied Volatility","D",A18,,,-1)</f>
        <v>27.7</v>
      </c>
      <c r="D18">
        <f>_xll.ICEHistory("C 26UP300000-ICE","Open Interest","D",A18,,,-1)</f>
        <v>250</v>
      </c>
      <c r="E18">
        <f>_xll.ICEHistory("C 26U-ICE","Last","D",A18,,,-1)</f>
        <v>4177</v>
      </c>
      <c r="F18">
        <v>311</v>
      </c>
    </row>
    <row r="19" spans="1:6" x14ac:dyDescent="0.25">
      <c r="A19" s="1">
        <v>45950</v>
      </c>
      <c r="B19">
        <f>_xll.ICEHistory("C 26UP300000-ICE","Last","D",A19,,,-1)</f>
        <v>47</v>
      </c>
      <c r="C19">
        <f>_xll.ICEHistory("C 26UP300000-ICE","Implied Volatility","D",A19,,,-1)</f>
        <v>28.23</v>
      </c>
      <c r="D19">
        <f>_xll.ICEHistory("C 26UP300000-ICE","Open Interest","D",A19,,,-1)</f>
        <v>250</v>
      </c>
      <c r="E19">
        <f>_xll.ICEHistory("C 26U-ICE","Last","D",A19,,,-1)</f>
        <v>4144</v>
      </c>
      <c r="F19">
        <v>312</v>
      </c>
    </row>
    <row r="20" spans="1:6" x14ac:dyDescent="0.25">
      <c r="A20" s="1">
        <v>45947</v>
      </c>
      <c r="B20">
        <f>_xll.ICEHistory("C 26UP300000-ICE","Last","D",A20,,,-1)</f>
        <v>61</v>
      </c>
      <c r="C20">
        <f>_xll.ICEHistory("C 26UP300000-ICE","Implied Volatility","D",A20,,,-1)</f>
        <v>30.5</v>
      </c>
      <c r="D20">
        <f>_xll.ICEHistory("C 26UP300000-ICE","Open Interest","D",A20,,,-1)</f>
        <v>250</v>
      </c>
      <c r="E20">
        <f>_xll.ICEHistory("C 26U-ICE","Last","D",A20,,,-1)</f>
        <v>4168</v>
      </c>
      <c r="F20">
        <v>315</v>
      </c>
    </row>
    <row r="21" spans="1:6" x14ac:dyDescent="0.25">
      <c r="A21" s="1">
        <v>45946</v>
      </c>
      <c r="B21">
        <f>_xll.ICEHistory("C 26UP300000-ICE","Last","D",A21,,,-1)</f>
        <v>57</v>
      </c>
      <c r="C21">
        <f>_xll.ICEHistory("C 26UP300000-ICE","Implied Volatility","D",A21,,,-1)</f>
        <v>30.72</v>
      </c>
      <c r="D21">
        <f>_xll.ICEHistory("C 26UP300000-ICE","Open Interest","D",A21,,,-1)</f>
        <v>250</v>
      </c>
      <c r="E21">
        <f>_xll.ICEHistory("C 26U-ICE","Last","D",A21,,,-1)</f>
        <v>4228</v>
      </c>
      <c r="F21">
        <v>316</v>
      </c>
    </row>
    <row r="22" spans="1:6" x14ac:dyDescent="0.25">
      <c r="A22" s="1">
        <v>45945</v>
      </c>
      <c r="B22">
        <f>_xll.ICEHistory("C 26UP300000-ICE","Last","D",A22,,,-1)</f>
        <v>66</v>
      </c>
      <c r="C22">
        <f>_xll.ICEHistory("C 26UP300000-ICE","Implied Volatility","D",A22,,,-1)</f>
        <v>30.44</v>
      </c>
      <c r="D22">
        <f>_xll.ICEHistory("C 26UP300000-ICE","Open Interest","D",A22,,,-1)</f>
        <v>250</v>
      </c>
      <c r="E22">
        <f>_xll.ICEHistory("C 26U-ICE","Last","D",A22,,,-1)</f>
        <v>4116</v>
      </c>
      <c r="F22">
        <v>317</v>
      </c>
    </row>
    <row r="23" spans="1:6" x14ac:dyDescent="0.25">
      <c r="A23" s="1">
        <v>45944</v>
      </c>
      <c r="B23">
        <f>_xll.ICEHistory("C 26UP300000-ICE","Last","D",A23,,,-1)</f>
        <v>53</v>
      </c>
      <c r="C23">
        <f>_xll.ICEHistory("C 26UP300000-ICE","Implied Volatility","D",A23,,,-1)</f>
        <v>29.77</v>
      </c>
      <c r="D23">
        <f>_xll.ICEHistory("C 26UP300000-ICE","Open Interest","D",A23,,,-1)</f>
        <v>250</v>
      </c>
      <c r="E23">
        <f>_xll.ICEHistory("C 26U-ICE","Last","D",A23,,,-1)</f>
        <v>4207</v>
      </c>
      <c r="F23">
        <v>318</v>
      </c>
    </row>
    <row r="24" spans="1:6" x14ac:dyDescent="0.25">
      <c r="A24" s="1">
        <v>45943</v>
      </c>
      <c r="B24">
        <f>_xll.ICEHistory("C 26UP300000-ICE","Last","D",A24,,,-1)</f>
        <v>56</v>
      </c>
      <c r="C24">
        <f>_xll.ICEHistory("C 26UP300000-ICE","Implied Volatility","D",A24,,,-1)</f>
        <v>29.62</v>
      </c>
      <c r="D24">
        <f>_xll.ICEHistory("C 26UP300000-ICE","Open Interest","D",A24,,,-1)</f>
        <v>250</v>
      </c>
      <c r="E24">
        <f>_xll.ICEHistory("C 26U-ICE","Last","D",A24,,,-1)</f>
        <v>4173</v>
      </c>
      <c r="F24">
        <v>319</v>
      </c>
    </row>
    <row r="25" spans="1:6" x14ac:dyDescent="0.25">
      <c r="A25" s="1">
        <v>45940</v>
      </c>
      <c r="B25">
        <f>_xll.ICEHistory("C 26UP300000-ICE","Last","D",A25,,,-1)</f>
        <v>66</v>
      </c>
      <c r="C25">
        <f>_xll.ICEHistory("C 26UP300000-ICE","Implied Volatility","D",A25,,,-1)</f>
        <v>30.76</v>
      </c>
      <c r="D25">
        <f>_xll.ICEHistory("C 26UP300000-ICE","Open Interest","D",A25,,,-1)</f>
        <v>250</v>
      </c>
      <c r="E25">
        <f>_xll.ICEHistory("C 26U-ICE","Last","D",A25,,,-1)</f>
        <v>4157</v>
      </c>
      <c r="F25">
        <v>322</v>
      </c>
    </row>
    <row r="26" spans="1:6" x14ac:dyDescent="0.25">
      <c r="A26" s="1">
        <v>45939</v>
      </c>
      <c r="B26">
        <f>_xll.ICEHistory("C 26UP300000-ICE","Last","D",A26,,,-1)</f>
        <v>62</v>
      </c>
      <c r="C26">
        <f>_xll.ICEHistory("C 26UP300000-ICE","Implied Volatility","D",A26,,,-1)</f>
        <v>31.37</v>
      </c>
      <c r="D26">
        <f>_xll.ICEHistory("C 26UP300000-ICE","Open Interest","D",A26,,,-1)</f>
        <v>250</v>
      </c>
      <c r="E26">
        <f>_xll.ICEHistory("C 26U-ICE","Last","D",A26,,,-1)</f>
        <v>4236</v>
      </c>
      <c r="F26">
        <v>323</v>
      </c>
    </row>
    <row r="27" spans="1:6" x14ac:dyDescent="0.25">
      <c r="A27" s="1">
        <v>45938</v>
      </c>
      <c r="B27">
        <f>_xll.ICEHistory("C 26UP300000-ICE","Last","D",A27,,,-1)</f>
        <v>54</v>
      </c>
      <c r="C27">
        <f>_xll.ICEHistory("C 26UP300000-ICE","Implied Volatility","D",A27,,,-1)</f>
        <v>29.78</v>
      </c>
      <c r="D27">
        <f>_xll.ICEHistory("C 26UP300000-ICE","Open Interest","D",A27,,,-1)</f>
        <v>250</v>
      </c>
      <c r="E27">
        <f>_xll.ICEHistory("C 26U-ICE","Last","D",A27,,,-1)</f>
        <v>4220</v>
      </c>
      <c r="F27">
        <v>324</v>
      </c>
    </row>
    <row r="28" spans="1:6" x14ac:dyDescent="0.25">
      <c r="A28" s="1">
        <v>45937</v>
      </c>
      <c r="B28">
        <f>_xll.ICEHistory("C 26UP300000-ICE","Last","D",A28,,,-1)</f>
        <v>48</v>
      </c>
      <c r="C28">
        <f>_xll.ICEHistory("C 26UP300000-ICE","Implied Volatility","D",A28,,,-1)</f>
        <v>29.99</v>
      </c>
      <c r="D28">
        <f>_xll.ICEHistory("C 26UP300000-ICE","Open Interest","D",A28,,,-1)</f>
        <v>250</v>
      </c>
      <c r="E28">
        <f>_xll.ICEHistory("C 26U-ICE","Last","D",A28,,,-1)</f>
        <v>4314</v>
      </c>
      <c r="F28">
        <v>325</v>
      </c>
    </row>
    <row r="29" spans="1:6" x14ac:dyDescent="0.25">
      <c r="A29" s="1">
        <v>45936</v>
      </c>
      <c r="B29">
        <f>_xll.ICEHistory("C 26UP300000-ICE","Last","D",A29,,,-1)</f>
        <v>41</v>
      </c>
      <c r="C29">
        <f>_xll.ICEHistory("C 26UP300000-ICE","Implied Volatility","D",A29,,,-1)</f>
        <v>29.99</v>
      </c>
      <c r="D29">
        <f>_xll.ICEHistory("C 26UP300000-ICE","Open Interest","D",A29,,,-1)</f>
        <v>250</v>
      </c>
      <c r="E29">
        <f>_xll.ICEHistory("C 26U-ICE","Last","D",A29,,,-1)</f>
        <v>4405</v>
      </c>
      <c r="F29">
        <v>326</v>
      </c>
    </row>
    <row r="30" spans="1:6" x14ac:dyDescent="0.25">
      <c r="A30" s="1">
        <v>45933</v>
      </c>
      <c r="B30">
        <f>_xll.ICEHistory("C 26UP300000-ICE","Last","D",A30,,,-1)</f>
        <v>40</v>
      </c>
      <c r="C30">
        <f>_xll.ICEHistory("C 26UP300000-ICE","Implied Volatility","D",A30,,,-1)</f>
        <v>29.03</v>
      </c>
      <c r="D30">
        <f>_xll.ICEHistory("C 26UP300000-ICE","Open Interest","D",A30,,,-1)</f>
        <v>250</v>
      </c>
      <c r="E30">
        <f>_xll.ICEHistory("C 26U-ICE","Last","D",A30,,,-1)</f>
        <v>4365</v>
      </c>
      <c r="F30">
        <v>329</v>
      </c>
    </row>
    <row r="31" spans="1:6" x14ac:dyDescent="0.25">
      <c r="A31" s="1">
        <v>45932</v>
      </c>
      <c r="B31">
        <f>_xll.ICEHistory("C 26UP300000-ICE","Last","D",A31,,,-1)</f>
        <v>31</v>
      </c>
      <c r="C31">
        <f>_xll.ICEHistory("C 26UP300000-ICE","Implied Volatility","D",A31,,,-1)</f>
        <v>29.46</v>
      </c>
      <c r="D31">
        <f>_xll.ICEHistory("C 26UP300000-ICE","Open Interest","D",A31,,,-1)</f>
        <v>250</v>
      </c>
      <c r="E31">
        <f>_xll.ICEHistory("C 26U-ICE","Last","D",A31,,,-1)</f>
        <v>4547</v>
      </c>
      <c r="F31">
        <v>330</v>
      </c>
    </row>
    <row r="32" spans="1:6" x14ac:dyDescent="0.25">
      <c r="A32" s="1">
        <v>45931</v>
      </c>
      <c r="B32">
        <f>_xll.ICEHistory("C 26UP300000-ICE","Last","D",A32,,,-1)</f>
        <v>30</v>
      </c>
      <c r="C32">
        <f>_xll.ICEHistory("C 26UP300000-ICE","Implied Volatility","D",A32,,,-1)</f>
        <v>30.77</v>
      </c>
      <c r="D32">
        <f>_xll.ICEHistory("C 26UP300000-ICE","Open Interest","D",A32,,,-1)</f>
        <v>250</v>
      </c>
      <c r="E32">
        <f>_xll.ICEHistory("C 26U-ICE","Last","D",A32,,,-1)</f>
        <v>4689</v>
      </c>
      <c r="F32">
        <v>331</v>
      </c>
    </row>
    <row r="33" spans="1:6" x14ac:dyDescent="0.25">
      <c r="A33" s="1">
        <v>45930</v>
      </c>
      <c r="B33">
        <f>_xll.ICEHistory("C 26UP300000-ICE","Last","D",A33,,,-1)</f>
        <v>28</v>
      </c>
      <c r="C33">
        <f>_xll.ICEHistory("C 26UP300000-ICE","Implied Volatility","D",A33,,,-1)</f>
        <v>30.76</v>
      </c>
      <c r="D33">
        <f>_xll.ICEHistory("C 26UP300000-ICE","Open Interest","D",A33,,,-1)</f>
        <v>250</v>
      </c>
      <c r="E33">
        <f>_xll.ICEHistory("C 26U-ICE","Last","D",A33,,,-1)</f>
        <v>4731</v>
      </c>
      <c r="F33">
        <v>332</v>
      </c>
    </row>
    <row r="34" spans="1:6" x14ac:dyDescent="0.25">
      <c r="A34" s="1">
        <v>45929</v>
      </c>
      <c r="B34">
        <f>_xll.ICEHistory("C 26UP300000-ICE","Last","D",A34,,,-1)</f>
        <v>20</v>
      </c>
      <c r="C34">
        <f>_xll.ICEHistory("C 26UP300000-ICE","Implied Volatility","D",A34,,,-1)</f>
        <v>29.41</v>
      </c>
      <c r="D34">
        <f>_xll.ICEHistory("C 26UP300000-ICE","Open Interest","D",A34,,,-1)</f>
        <v>250</v>
      </c>
      <c r="E34">
        <f>_xll.ICEHistory("C 26U-ICE","Last","D",A34,,,-1)</f>
        <v>4825</v>
      </c>
      <c r="F34">
        <v>333</v>
      </c>
    </row>
    <row r="35" spans="1:6" x14ac:dyDescent="0.25">
      <c r="A35" s="1">
        <v>45926</v>
      </c>
      <c r="B35">
        <f>_xll.ICEHistory("C 26UP300000-ICE","Last","D",A35,,,-1)</f>
        <v>23</v>
      </c>
      <c r="C35">
        <f>_xll.ICEHistory("C 26UP300000-ICE","Implied Volatility","D",A35,,,-1)</f>
        <v>29.81</v>
      </c>
      <c r="D35">
        <f>_xll.ICEHistory("C 26UP300000-ICE","Open Interest","D",A35,,,-1)</f>
        <v>250</v>
      </c>
      <c r="E35">
        <f>_xll.ICEHistory("C 26U-ICE","Last","D",A35,,,-1)</f>
        <v>4795</v>
      </c>
      <c r="F35">
        <v>336</v>
      </c>
    </row>
    <row r="36" spans="1:6" x14ac:dyDescent="0.25">
      <c r="A36" s="1">
        <v>45925</v>
      </c>
      <c r="B36">
        <f>_xll.ICEHistory("C 26UP300000-ICE","Last","D",A36,,,-1)</f>
        <v>20</v>
      </c>
      <c r="C36">
        <f>_xll.ICEHistory("C 26UP300000-ICE","Implied Volatility","D",A36,,,-1)</f>
        <v>29.22</v>
      </c>
      <c r="D36">
        <f>_xll.ICEHistory("C 26UP300000-ICE","Open Interest","D",A36,,,-1)</f>
        <v>250</v>
      </c>
      <c r="E36">
        <f>_xll.ICEHistory("C 26U-ICE","Last","D",A36,,,-1)</f>
        <v>4825</v>
      </c>
      <c r="F36">
        <v>337</v>
      </c>
    </row>
    <row r="37" spans="1:6" x14ac:dyDescent="0.25">
      <c r="A37" s="1">
        <v>45924</v>
      </c>
      <c r="B37">
        <f>_xll.ICEHistory("C 26UP300000-ICE","Last","D",A37,,,-1)</f>
        <v>19</v>
      </c>
      <c r="C37">
        <f>_xll.ICEHistory("C 26UP300000-ICE","Implied Volatility","D",A37,,,-1)</f>
        <v>29.19</v>
      </c>
      <c r="D37">
        <f>_xll.ICEHistory("C 26UP300000-ICE","Open Interest","D",A37,,,-1)</f>
        <v>250</v>
      </c>
      <c r="E37">
        <f>_xll.ICEHistory("C 26U-ICE","Last","D",A37,,,-1)</f>
        <v>4859</v>
      </c>
      <c r="F37">
        <v>338</v>
      </c>
    </row>
    <row r="38" spans="1:6" x14ac:dyDescent="0.25">
      <c r="A38" s="1">
        <v>45923</v>
      </c>
      <c r="B38">
        <f>_xll.ICEHistory("C 26UP300000-ICE","Last","D",A38,,,-1)</f>
        <v>19</v>
      </c>
      <c r="C38">
        <f>_xll.ICEHistory("C 26UP300000-ICE","Implied Volatility","D",A38,,,-1)</f>
        <v>28.91</v>
      </c>
      <c r="D38">
        <f>_xll.ICEHistory("C 26UP300000-ICE","Open Interest","D",A38,,,-1)</f>
        <v>250</v>
      </c>
      <c r="E38">
        <f>_xll.ICEHistory("C 26U-ICE","Last","D",A38,,,-1)</f>
        <v>4830</v>
      </c>
      <c r="F38">
        <v>339</v>
      </c>
    </row>
    <row r="39" spans="1:6" x14ac:dyDescent="0.25">
      <c r="A39" s="1">
        <v>45922</v>
      </c>
      <c r="B39">
        <f>_xll.ICEHistory("C 26UP300000-ICE","Last","D",A39,,,-1)</f>
        <v>19</v>
      </c>
      <c r="C39">
        <f>_xll.ICEHistory("C 26UP300000-ICE","Implied Volatility","D",A39,,,-1)</f>
        <v>28.88</v>
      </c>
      <c r="D39">
        <f>_xll.ICEHistory("C 26UP300000-ICE","Open Interest","D",A39,,,-1)</f>
        <v>250</v>
      </c>
      <c r="E39">
        <f>_xll.ICEHistory("C 26U-ICE","Last","D",A39,,,-1)</f>
        <v>4840</v>
      </c>
      <c r="F39">
        <v>340</v>
      </c>
    </row>
    <row r="40" spans="1:6" x14ac:dyDescent="0.25">
      <c r="A40" s="1">
        <v>45919</v>
      </c>
      <c r="B40">
        <f>_xll.ICEHistory("C 26UP300000-ICE","Last","D",A40,,,-1)</f>
        <v>16</v>
      </c>
      <c r="C40">
        <f>_xll.ICEHistory("C 26UP300000-ICE","Implied Volatility","D",A40,,,-1)</f>
        <v>28.81</v>
      </c>
      <c r="D40">
        <f>_xll.ICEHistory("C 26UP300000-ICE","Open Interest","D",A40,,,-1)</f>
        <v>250</v>
      </c>
      <c r="E40">
        <f>_xll.ICEHistory("C 26U-ICE","Last","D",A40,,,-1)</f>
        <v>4932</v>
      </c>
      <c r="F40">
        <v>343</v>
      </c>
    </row>
    <row r="41" spans="1:6" x14ac:dyDescent="0.25">
      <c r="A41" s="1">
        <v>45918</v>
      </c>
      <c r="B41">
        <f>_xll.ICEHistory("C 26UP300000-ICE","Last","D",A41,,,-1)</f>
        <v>16</v>
      </c>
      <c r="C41">
        <f>_xll.ICEHistory("C 26UP300000-ICE","Implied Volatility","D",A41,,,-1)</f>
        <v>28.49</v>
      </c>
      <c r="D41">
        <f>_xll.ICEHistory("C 26UP300000-ICE","Open Interest","D",A41,,,-1)</f>
        <v>250</v>
      </c>
      <c r="E41">
        <f>_xll.ICEHistory("C 26U-ICE","Last","D",A41,,,-1)</f>
        <v>4891</v>
      </c>
      <c r="F41">
        <v>344</v>
      </c>
    </row>
    <row r="42" spans="1:6" x14ac:dyDescent="0.25">
      <c r="A42" s="1">
        <v>45917</v>
      </c>
      <c r="B42">
        <f>_xll.ICEHistory("C 26UP300000-ICE","Last","D",A42,,,-1)</f>
        <v>17</v>
      </c>
      <c r="C42">
        <f>_xll.ICEHistory("C 26UP300000-ICE","Implied Volatility","D",A42,,,-1)</f>
        <v>28.9</v>
      </c>
      <c r="D42">
        <f>_xll.ICEHistory("C 26UP300000-ICE","Open Interest","D",A42,,,-1)</f>
        <v>250</v>
      </c>
      <c r="E42">
        <f>_xll.ICEHistory("C 26U-ICE","Last","D",A42,,,-1)</f>
        <v>4926</v>
      </c>
      <c r="F42">
        <v>345</v>
      </c>
    </row>
    <row r="43" spans="1:6" x14ac:dyDescent="0.25">
      <c r="A43" s="1">
        <v>45916</v>
      </c>
      <c r="B43">
        <f>_xll.ICEHistory("C 26UP300000-ICE","Last","D",A43,,,-1)</f>
        <v>18</v>
      </c>
      <c r="C43">
        <f>_xll.ICEHistory("C 26UP300000-ICE","Implied Volatility","D",A43,,,-1)</f>
        <v>29.15</v>
      </c>
      <c r="D43">
        <f>_xll.ICEHistory("C 26UP300000-ICE","Open Interest","D",A43,,,-1)</f>
        <v>250</v>
      </c>
      <c r="E43">
        <f>_xll.ICEHistory("C 26U-ICE","Last","D",A43,,,-1)</f>
        <v>4905</v>
      </c>
      <c r="F43">
        <v>346</v>
      </c>
    </row>
    <row r="44" spans="1:6" x14ac:dyDescent="0.25">
      <c r="A44" s="1">
        <v>45915</v>
      </c>
      <c r="B44">
        <f>_xll.ICEHistory("C 26UP300000-ICE","Last","D",A44,,,-1)</f>
        <v>25</v>
      </c>
      <c r="C44">
        <f>_xll.ICEHistory("C 26UP300000-ICE","Implied Volatility","D",A44,,,-1)</f>
        <v>31.9</v>
      </c>
      <c r="D44">
        <f>_xll.ICEHistory("C 26UP300000-ICE","Open Interest","D",A44,,,-1)</f>
        <v>250</v>
      </c>
      <c r="E44">
        <f>_xll.ICEHistory("C 26U-ICE","Last","D",A44,,,-1)</f>
        <v>4999</v>
      </c>
      <c r="F44">
        <v>347</v>
      </c>
    </row>
    <row r="45" spans="1:6" x14ac:dyDescent="0.25">
      <c r="A45" s="1">
        <v>45912</v>
      </c>
      <c r="B45">
        <f>_xll.ICEHistory("C 26UP300000-ICE","Last","D",A45,,,-1)</f>
        <v>28</v>
      </c>
      <c r="C45">
        <f>_xll.ICEHistory("C 26UP300000-ICE","Implied Volatility","D",A45,,,-1)</f>
        <v>31.84</v>
      </c>
      <c r="D45">
        <f>_xll.ICEHistory("C 26UP300000-ICE","Open Interest","D",A45,,,-1)</f>
        <v>250</v>
      </c>
      <c r="E45">
        <f>_xll.ICEHistory("C 26U-ICE","Last","D",A45,,,-1)</f>
        <v>4935</v>
      </c>
      <c r="F45">
        <v>350</v>
      </c>
    </row>
    <row r="46" spans="1:6" x14ac:dyDescent="0.25">
      <c r="A46" s="1">
        <v>45911</v>
      </c>
      <c r="B46">
        <f>_xll.ICEHistory("C 26UP300000-ICE","Last","D",A46,,,-1)</f>
        <v>27</v>
      </c>
      <c r="C46">
        <f>_xll.ICEHistory("C 26UP300000-ICE","Implied Volatility","D",A46,,,-1)</f>
        <v>32.47</v>
      </c>
      <c r="D46">
        <f>_xll.ICEHistory("C 26UP300000-ICE","Open Interest","D",A46,,,-1)</f>
        <v>250</v>
      </c>
      <c r="E46">
        <f>_xll.ICEHistory("C 26U-ICE","Last","D",A46,,,-1)</f>
        <v>5026</v>
      </c>
      <c r="F46">
        <v>351</v>
      </c>
    </row>
    <row r="47" spans="1:6" x14ac:dyDescent="0.25">
      <c r="A47" s="1">
        <v>45910</v>
      </c>
      <c r="B47">
        <f>_xll.ICEHistory("C 26UP300000-ICE","Last","D",A47,,,-1)</f>
        <v>29</v>
      </c>
      <c r="C47">
        <f>_xll.ICEHistory("C 26UP300000-ICE","Implied Volatility","D",A47,,,-1)</f>
        <v>32.479999999999997</v>
      </c>
      <c r="D47">
        <f>_xll.ICEHistory("C 26UP300000-ICE","Open Interest","D",A47,,,-1)</f>
        <v>250</v>
      </c>
      <c r="E47">
        <f>_xll.ICEHistory("C 26U-ICE","Last","D",A47,,,-1)</f>
        <v>4995</v>
      </c>
      <c r="F47">
        <v>352</v>
      </c>
    </row>
    <row r="48" spans="1:6" x14ac:dyDescent="0.25">
      <c r="A48" s="1">
        <v>45909</v>
      </c>
      <c r="B48">
        <f>_xll.ICEHistory("C 26UP300000-ICE","Last","D",A48,,,-1)</f>
        <v>31</v>
      </c>
      <c r="C48">
        <f>_xll.ICEHistory("C 26UP300000-ICE","Implied Volatility","D",A48,,,-1)</f>
        <v>32.39</v>
      </c>
      <c r="D48">
        <f>_xll.ICEHistory("C 26UP300000-ICE","Open Interest","D",A48,,,-1)</f>
        <v>250</v>
      </c>
      <c r="E48">
        <f>_xll.ICEHistory("C 26U-ICE","Last","D",A48,,,-1)</f>
        <v>4919</v>
      </c>
      <c r="F48">
        <v>353</v>
      </c>
    </row>
    <row r="49" spans="1:6" x14ac:dyDescent="0.25">
      <c r="A49" s="1">
        <v>45908</v>
      </c>
      <c r="B49">
        <f>_xll.ICEHistory("C 26UP300000-ICE","Last","D",A49,,,-1)</f>
        <v>36</v>
      </c>
      <c r="C49">
        <f>_xll.ICEHistory("C 26UP300000-ICE","Implied Volatility","D",A49,,,-1)</f>
        <v>32.78</v>
      </c>
      <c r="D49">
        <f>_xll.ICEHistory("C 26UP300000-ICE","Open Interest","D",A49,,,-1)</f>
        <v>250</v>
      </c>
      <c r="E49">
        <f>_xll.ICEHistory("C 26U-ICE","Last","D",A49,,,-1)</f>
        <v>4862</v>
      </c>
      <c r="F49">
        <v>354</v>
      </c>
    </row>
    <row r="50" spans="1:6" x14ac:dyDescent="0.25">
      <c r="A50" s="1">
        <v>45905</v>
      </c>
      <c r="B50">
        <f>_xll.ICEHistory("C 26UP300000-ICE","Last","D",A50,,,-1)</f>
        <v>34</v>
      </c>
      <c r="C50">
        <f>_xll.ICEHistory("C 26UP300000-ICE","Implied Volatility","D",A50,,,-1)</f>
        <v>32.76</v>
      </c>
      <c r="D50">
        <f>_xll.ICEHistory("C 26UP300000-ICE","Open Interest","D",A50,,,-1)</f>
        <v>250</v>
      </c>
      <c r="E50">
        <f>_xll.ICEHistory("C 26U-ICE","Last","D",A50,,,-1)</f>
        <v>4918</v>
      </c>
      <c r="F50">
        <v>357</v>
      </c>
    </row>
    <row r="51" spans="1:6" x14ac:dyDescent="0.25">
      <c r="A51" s="1">
        <v>45904</v>
      </c>
      <c r="B51">
        <f>_xll.ICEHistory("C 26UP300000-ICE","Last","D",A51,,,-1)</f>
        <v>34</v>
      </c>
      <c r="C51">
        <f>_xll.ICEHistory("C 26UP300000-ICE","Implied Volatility","D",A51,,,-1)</f>
        <v>32.74</v>
      </c>
      <c r="D51">
        <f>_xll.ICEHistory("C 26UP300000-ICE","Open Interest","D",A51,,,-1)</f>
        <v>250</v>
      </c>
      <c r="E51">
        <f>_xll.ICEHistory("C 26U-ICE","Last","D",A51,,,-1)</f>
        <v>4924</v>
      </c>
      <c r="F51">
        <v>358</v>
      </c>
    </row>
    <row r="52" spans="1:6" x14ac:dyDescent="0.25">
      <c r="A52" s="1">
        <v>45903</v>
      </c>
      <c r="B52">
        <f>_xll.ICEHistory("C 26UP300000-ICE","Last","D",A52,,,-1)</f>
        <v>28</v>
      </c>
      <c r="C52">
        <f>_xll.ICEHistory("C 26UP300000-ICE","Implied Volatility","D",A52,,,-1)</f>
        <v>32.26</v>
      </c>
      <c r="D52">
        <f>_xll.ICEHistory("C 26UP300000-ICE","Open Interest","D",A52,,,-1)</f>
        <v>250</v>
      </c>
      <c r="E52">
        <f>_xll.ICEHistory("C 26U-ICE","Last","D",A52,,,-1)</f>
        <v>5032</v>
      </c>
      <c r="F52">
        <v>359</v>
      </c>
    </row>
    <row r="53" spans="1:6" x14ac:dyDescent="0.25">
      <c r="A53" s="1">
        <v>45902</v>
      </c>
      <c r="B53">
        <f>_xll.ICEHistory("C 26UP300000-ICE","Last","D",A53,,,-1)</f>
        <v>27</v>
      </c>
      <c r="C53">
        <f>_xll.ICEHistory("C 26UP300000-ICE","Implied Volatility","D",A53,,,-1)</f>
        <v>32.24</v>
      </c>
      <c r="D53">
        <f>_xll.ICEHistory("C 26UP300000-ICE","Open Interest","D",A53,,,-1)</f>
        <v>250</v>
      </c>
      <c r="E53">
        <f>_xll.ICEHistory("C 26U-ICE","Last","D",A53,,,-1)</f>
        <v>5048</v>
      </c>
      <c r="F53">
        <v>360</v>
      </c>
    </row>
    <row r="54" spans="1:6" x14ac:dyDescent="0.25">
      <c r="A54" s="1">
        <v>45901</v>
      </c>
      <c r="B54">
        <f>_xll.ICEHistory("C 26UP300000-ICE","Last","D",A54,,,-1)</f>
        <v>28</v>
      </c>
      <c r="C54">
        <f>_xll.ICEHistory("C 26UP300000-ICE","Implied Volatility","D",A54,,,-1)</f>
        <v>32.25</v>
      </c>
      <c r="D54">
        <f>_xll.ICEHistory("C 26UP300000-ICE","Open Interest","D",A54,,,-1)</f>
        <v>250</v>
      </c>
      <c r="E54">
        <f>_xll.ICEHistory("C 26U-ICE","Last","D",A54,,,-1)</f>
        <v>5032</v>
      </c>
      <c r="F54">
        <v>361</v>
      </c>
    </row>
    <row r="55" spans="1:6" x14ac:dyDescent="0.25">
      <c r="A55" s="1">
        <v>45898</v>
      </c>
      <c r="B55">
        <f>_xll.ICEHistory("C 26UP300000-ICE","Last","D",A55,,,-1)</f>
        <v>27</v>
      </c>
      <c r="C55">
        <f>_xll.ICEHistory("C 26UP300000-ICE","Implied Volatility","D",A55,,,-1)</f>
        <v>32.19</v>
      </c>
      <c r="D55">
        <f>_xll.ICEHistory("C 26UP300000-ICE","Open Interest","D",A55,,,-1)</f>
        <v>250</v>
      </c>
      <c r="E55">
        <f>_xll.ICEHistory("C 26U-ICE","Last","D",A55,,,-1)</f>
        <v>5063</v>
      </c>
      <c r="F55">
        <v>364</v>
      </c>
    </row>
    <row r="56" spans="1:6" x14ac:dyDescent="0.25">
      <c r="A56" s="1">
        <v>45897</v>
      </c>
      <c r="B56">
        <f>_xll.ICEHistory("C 26UP300000-ICE","Last","D",A56,,,-1)</f>
        <v>26</v>
      </c>
      <c r="C56">
        <f>_xll.ICEHistory("C 26UP300000-ICE","Implied Volatility","D",A56,,,-1)</f>
        <v>32.200000000000003</v>
      </c>
      <c r="D56">
        <f>_xll.ICEHistory("C 26UP300000-ICE","Open Interest","D",A56,,,-1)</f>
        <v>250</v>
      </c>
      <c r="E56">
        <f>_xll.ICEHistory("C 26U-ICE","Last","D",A56,,,-1)</f>
        <v>5083</v>
      </c>
      <c r="F56">
        <v>365</v>
      </c>
    </row>
    <row r="57" spans="1:6" x14ac:dyDescent="0.25">
      <c r="A57" s="1">
        <v>45896</v>
      </c>
      <c r="B57">
        <f>_xll.ICEHistory("C 26UP300000-ICE","Last","D",A57,,,-1)</f>
        <v>24</v>
      </c>
      <c r="C57">
        <f>_xll.ICEHistory("C 26UP300000-ICE","Implied Volatility","D",A57,,,-1)</f>
        <v>31.86</v>
      </c>
      <c r="D57">
        <f>_xll.ICEHistory("C 26UP300000-ICE","Open Interest","D",A57,,,-1)</f>
        <v>250</v>
      </c>
      <c r="E57">
        <f>_xll.ICEHistory("C 26U-ICE","Last","D",A57,,,-1)</f>
        <v>5111</v>
      </c>
      <c r="F57">
        <v>366</v>
      </c>
    </row>
    <row r="58" spans="1:6" x14ac:dyDescent="0.25">
      <c r="A58" s="1">
        <v>45891</v>
      </c>
      <c r="B58">
        <f>_xll.ICEHistory("C 26UP300000-ICE","Last","D",A58,,,-1)</f>
        <v>27</v>
      </c>
      <c r="C58">
        <f>_xll.ICEHistory("C 26UP300000-ICE","Implied Volatility","D",A58,,,-1)</f>
        <v>32.020000000000003</v>
      </c>
      <c r="D58">
        <f>_xll.ICEHistory("C 26UP300000-ICE","Open Interest","D",A58,,,-1)</f>
        <v>250</v>
      </c>
      <c r="E58">
        <f>_xll.ICEHistory("C 26U-ICE","Last","D",A58,,,-1)</f>
        <v>5073</v>
      </c>
      <c r="F58">
        <v>371</v>
      </c>
    </row>
    <row r="59" spans="1:6" x14ac:dyDescent="0.25">
      <c r="A59" s="1">
        <v>45890</v>
      </c>
      <c r="B59">
        <f>_xll.ICEHistory("C 26UP300000-ICE","Last","D",A59,,,-1)</f>
        <v>25</v>
      </c>
      <c r="C59">
        <f>_xll.ICEHistory("C 26UP300000-ICE","Implied Volatility","D",A59,,,-1)</f>
        <v>31.88</v>
      </c>
      <c r="D59">
        <f>_xll.ICEHistory("C 26UP300000-ICE","Open Interest","D",A59,,,-1)</f>
        <v>250</v>
      </c>
      <c r="E59">
        <f>_xll.ICEHistory("C 26U-ICE","Last","D",A59,,,-1)</f>
        <v>5111</v>
      </c>
      <c r="F59">
        <v>372</v>
      </c>
    </row>
    <row r="60" spans="1:6" x14ac:dyDescent="0.25">
      <c r="A60" s="1">
        <v>45889</v>
      </c>
      <c r="B60">
        <f>_xll.ICEHistory("C 26UP300000-ICE","Last","D",A60,,,-1)</f>
        <v>27</v>
      </c>
      <c r="C60">
        <f>_xll.ICEHistory("C 26UP300000-ICE","Implied Volatility","D",A60,,,-1)</f>
        <v>32.869999999999997</v>
      </c>
      <c r="D60">
        <f>_xll.ICEHistory("C 26UP300000-ICE","Open Interest","D",A60,,,-1)</f>
        <v>250</v>
      </c>
      <c r="E60">
        <f>_xll.ICEHistory("C 26U-ICE","Last","D",A60,,,-1)</f>
        <v>5173</v>
      </c>
      <c r="F60">
        <v>373</v>
      </c>
    </row>
    <row r="61" spans="1:6" x14ac:dyDescent="0.25">
      <c r="A61" s="1">
        <v>45888</v>
      </c>
      <c r="B61">
        <f>_xll.ICEHistory("C 26UP300000-ICE","Last","D",A61,,,-1)</f>
        <v>19</v>
      </c>
      <c r="C61">
        <f>_xll.ICEHistory("C 26UP300000-ICE","Implied Volatility","D",A61,,,-1)</f>
        <v>31.44</v>
      </c>
      <c r="D61">
        <f>_xll.ICEHistory("C 26UP300000-ICE","Open Interest","D",A61,,,-1)</f>
        <v>250</v>
      </c>
      <c r="E61">
        <f>_xll.ICEHistory("C 26U-ICE","Last","D",A61,,,-1)</f>
        <v>5274</v>
      </c>
      <c r="F61">
        <v>374</v>
      </c>
    </row>
    <row r="62" spans="1:6" x14ac:dyDescent="0.25">
      <c r="A62" s="1">
        <v>45887</v>
      </c>
      <c r="B62">
        <f>_xll.ICEHistory("C 26UP300000-ICE","Last","D",A62,,,-1)</f>
        <v>21</v>
      </c>
      <c r="C62">
        <f>_xll.ICEHistory("C 26UP300000-ICE","Implied Volatility","D",A62,,,-1)</f>
        <v>31.65</v>
      </c>
      <c r="D62">
        <f>_xll.ICEHistory("C 26UP300000-ICE","Open Interest","D",A62,,,-1)</f>
        <v>250</v>
      </c>
      <c r="E62">
        <f>_xll.ICEHistory("C 26U-ICE","Last","D",A62,,,-1)</f>
        <v>5254</v>
      </c>
      <c r="F62">
        <v>375</v>
      </c>
    </row>
    <row r="63" spans="1:6" x14ac:dyDescent="0.25">
      <c r="A63" s="1">
        <v>45884</v>
      </c>
      <c r="B63">
        <f>_xll.ICEHistory("C 26UP300000-ICE","Last","D",A63,,,-1)</f>
        <v>20</v>
      </c>
      <c r="C63">
        <f>_xll.ICEHistory("C 26UP300000-ICE","Implied Volatility","D",A63,,,-1)</f>
        <v>31.56</v>
      </c>
      <c r="D63">
        <f>_xll.ICEHistory("C 26UP300000-ICE","Open Interest","D",A63,,,-1)</f>
        <v>250</v>
      </c>
      <c r="E63">
        <f>_xll.ICEHistory("C 26U-ICE","Last","D",A63,,,-1)</f>
        <v>5286</v>
      </c>
      <c r="F63">
        <v>378</v>
      </c>
    </row>
    <row r="64" spans="1:6" x14ac:dyDescent="0.25">
      <c r="A64" s="1">
        <v>45883</v>
      </c>
      <c r="B64">
        <f>_xll.ICEHistory("C 26UP300000-ICE","Last","D",A64,,,-1)</f>
        <v>17</v>
      </c>
      <c r="C64">
        <f>_xll.ICEHistory("C 26UP300000-ICE","Implied Volatility","D",A64,,,-1)</f>
        <v>31.01</v>
      </c>
      <c r="D64">
        <f>_xll.ICEHistory("C 26UP300000-ICE","Open Interest","D",A64,,,-1)</f>
        <v>250</v>
      </c>
      <c r="E64">
        <f>_xll.ICEHistory("C 26U-ICE","Last","D",A64,,,-1)</f>
        <v>5315</v>
      </c>
      <c r="F64">
        <v>379</v>
      </c>
    </row>
    <row r="65" spans="1:6" x14ac:dyDescent="0.25">
      <c r="A65" s="1">
        <v>45882</v>
      </c>
      <c r="B65">
        <f>_xll.ICEHistory("C 26UP300000-ICE","Last","D",A65,,,-1)</f>
        <v>20</v>
      </c>
      <c r="C65">
        <f>_xll.ICEHistory("C 26UP300000-ICE","Implied Volatility","D",A65,,,-1)</f>
        <v>33.07</v>
      </c>
      <c r="D65">
        <f>_xll.ICEHistory("C 26UP300000-ICE","Open Interest","D",A65,,,-1)</f>
        <v>250</v>
      </c>
      <c r="E65">
        <f>_xll.ICEHistory("C 26U-ICE","Last","D",A65,,,-1)</f>
        <v>5475</v>
      </c>
      <c r="F65">
        <v>380</v>
      </c>
    </row>
    <row r="66" spans="1:6" x14ac:dyDescent="0.25">
      <c r="A66" s="1">
        <v>45881</v>
      </c>
      <c r="B66">
        <f>_xll.ICEHistory("C 26UP300000-ICE","Last","D",A66,,,-1)</f>
        <v>22</v>
      </c>
      <c r="C66">
        <f>_xll.ICEHistory("C 26UP300000-ICE","Implied Volatility","D",A66,,,-1)</f>
        <v>33.75</v>
      </c>
      <c r="D66">
        <f>_xll.ICEHistory("C 26UP300000-ICE","Open Interest","D",A66,,,-1)</f>
        <v>250</v>
      </c>
      <c r="E66">
        <f>_xll.ICEHistory("C 26U-ICE","Last","D",A66,,,-1)</f>
        <v>5515</v>
      </c>
      <c r="F66">
        <v>381</v>
      </c>
    </row>
    <row r="67" spans="1:6" x14ac:dyDescent="0.25">
      <c r="A67" s="1">
        <v>45880</v>
      </c>
      <c r="B67">
        <f>_xll.ICEHistory("C 26UP300000-ICE","Last","D",A67,,,-1)</f>
        <v>20</v>
      </c>
      <c r="C67">
        <f>_xll.ICEHistory("C 26UP300000-ICE","Implied Volatility","D",A67,,,-1)</f>
        <v>32.68</v>
      </c>
      <c r="D67">
        <f>_xll.ICEHistory("C 26UP300000-ICE","Open Interest","D",A67,,,-1)</f>
        <v>250</v>
      </c>
      <c r="E67">
        <f>_xll.ICEHistory("C 26U-ICE","Last","D",A67,,,-1)</f>
        <v>5428</v>
      </c>
      <c r="F67">
        <v>382</v>
      </c>
    </row>
    <row r="68" spans="1:6" x14ac:dyDescent="0.25">
      <c r="A68" s="1">
        <v>45877</v>
      </c>
      <c r="B68">
        <f>_xll.ICEHistory("C 26UP300000-ICE","Last","D",A68,,,-1)</f>
        <v>27</v>
      </c>
      <c r="C68">
        <f>_xll.ICEHistory("C 26UP300000-ICE","Implied Volatility","D",A68,,,-1)</f>
        <v>31.74</v>
      </c>
      <c r="D68">
        <f>_xll.ICEHistory("C 26UP300000-ICE","Open Interest","D",A68,,,-1)</f>
        <v>250</v>
      </c>
      <c r="E68">
        <f>_xll.ICEHistory("C 26U-ICE","Last","D",A68,,,-1)</f>
        <v>5115</v>
      </c>
      <c r="F68">
        <v>385</v>
      </c>
    </row>
    <row r="69" spans="1:6" x14ac:dyDescent="0.25">
      <c r="A69" s="1">
        <v>45876</v>
      </c>
      <c r="B69">
        <f>_xll.ICEHistory("C 26UP300000-ICE","Last","D",A69,,,-1)</f>
        <v>30</v>
      </c>
      <c r="C69">
        <f>_xll.ICEHistory("C 26UP300000-ICE","Implied Volatility","D",A69,,,-1)</f>
        <v>32.130000000000003</v>
      </c>
      <c r="D69">
        <f>_xll.ICEHistory("C 26UP300000-ICE","Open Interest","D",A69,,,-1)</f>
        <v>250</v>
      </c>
      <c r="E69">
        <f>_xll.ICEHistory("C 26U-ICE","Last","D",A69,,,-1)</f>
        <v>5082</v>
      </c>
      <c r="F69">
        <v>386</v>
      </c>
    </row>
    <row r="70" spans="1:6" x14ac:dyDescent="0.25">
      <c r="A70" s="1">
        <v>45875</v>
      </c>
      <c r="B70">
        <f>_xll.ICEHistory("C 26UP300000-ICE","Last","D",A70,,,-1)</f>
        <v>25</v>
      </c>
      <c r="C70">
        <f>_xll.ICEHistory("C 26UP300000-ICE","Implied Volatility","D",A70,,,-1)</f>
        <v>30.72</v>
      </c>
      <c r="D70">
        <f>_xll.ICEHistory("C 26UP300000-ICE","Open Interest","D",A70,,,-1)</f>
        <v>250</v>
      </c>
      <c r="E70">
        <f>_xll.ICEHistory("C 26U-ICE","Last","D",A70,,,-1)</f>
        <v>5073</v>
      </c>
      <c r="F70">
        <v>387</v>
      </c>
    </row>
    <row r="71" spans="1:6" x14ac:dyDescent="0.25">
      <c r="A71" s="1">
        <v>45874</v>
      </c>
      <c r="B71">
        <f>_xll.ICEHistory("C 26UP300000-ICE","Last","D",A71,,,-1)</f>
        <v>25</v>
      </c>
      <c r="C71">
        <f>_xll.ICEHistory("C 26UP300000-ICE","Implied Volatility","D",A71,,,-1)</f>
        <v>31.03</v>
      </c>
      <c r="D71">
        <f>_xll.ICEHistory("C 26UP300000-ICE","Open Interest","D",A71,,,-1)</f>
        <v>0</v>
      </c>
      <c r="E71">
        <f>_xll.ICEHistory("C 26U-ICE","Last","D",A71,,,-1)</f>
        <v>5091</v>
      </c>
      <c r="F71">
        <v>388</v>
      </c>
    </row>
    <row r="72" spans="1:6" x14ac:dyDescent="0.25">
      <c r="A72" s="1">
        <v>45873</v>
      </c>
      <c r="B72">
        <f>_xll.ICEHistory("C 26UP300000-ICE","Last","D",A72,,,-1)</f>
        <v>29</v>
      </c>
      <c r="C72">
        <f>_xll.ICEHistory("C 26UP300000-ICE","Implied Volatility","D",A72,,,-1)</f>
        <v>31.06</v>
      </c>
      <c r="D72">
        <f>_xll.ICEHistory("C 26UP300000-ICE","Open Interest","D",A72,,,-1)</f>
        <v>0</v>
      </c>
      <c r="E72">
        <f>_xll.ICEHistory("C 26U-ICE","Last","D",A72,,,-1)</f>
        <v>4993</v>
      </c>
      <c r="F72">
        <v>389</v>
      </c>
    </row>
    <row r="73" spans="1:6" x14ac:dyDescent="0.25">
      <c r="A73" s="1">
        <v>45870</v>
      </c>
      <c r="B73">
        <f>_xll.ICEHistory("C 26UP300000-ICE","Last","D",A73,,,-1)</f>
        <v>28</v>
      </c>
      <c r="C73">
        <f>_xll.ICEHistory("C 26UP300000-ICE","Implied Volatility","D",A73,,,-1)</f>
        <v>31.33</v>
      </c>
      <c r="D73">
        <f>_xll.ICEHistory("C 26UP300000-ICE","Open Interest","D",A73,,,-1)</f>
        <v>0</v>
      </c>
      <c r="E73">
        <f>_xll.ICEHistory("C 26U-ICE","Last","D",A73,,,-1)</f>
        <v>5080</v>
      </c>
      <c r="F73">
        <v>392</v>
      </c>
    </row>
    <row r="74" spans="1:6" x14ac:dyDescent="0.25">
      <c r="A74" s="1">
        <v>45869</v>
      </c>
      <c r="B74">
        <f>_xll.ICEHistory("C 26UP300000-ICE","Last","D",A74,,,-1)</f>
        <v>24</v>
      </c>
      <c r="C74">
        <f>_xll.ICEHistory("C 26UP300000-ICE","Implied Volatility","D",A74,,,-1)</f>
        <v>31.28</v>
      </c>
      <c r="D74">
        <f>_xll.ICEHistory("C 26UP300000-ICE","Open Interest","D",A74,,,-1)</f>
        <v>0</v>
      </c>
      <c r="E74">
        <f>_xll.ICEHistory("C 26U-ICE","Last","D",A74,,,-1)</f>
        <v>5173</v>
      </c>
      <c r="F74">
        <v>393</v>
      </c>
    </row>
    <row r="75" spans="1:6" x14ac:dyDescent="0.25">
      <c r="A75" s="1">
        <v>45868</v>
      </c>
      <c r="B75">
        <f>_xll.ICEHistory("C 26UP300000-ICE","Last","D",A75,,,-1)</f>
        <v>23</v>
      </c>
      <c r="C75">
        <f>_xll.ICEHistory("C 26UP300000-ICE","Implied Volatility","D",A75,,,-1)</f>
        <v>29.58</v>
      </c>
      <c r="D75">
        <f>_xll.ICEHistory("C 26UP300000-ICE","Open Interest","D",A75,,,-1)</f>
        <v>0</v>
      </c>
      <c r="E75">
        <f>_xll.ICEHistory("C 26U-ICE","Last","D",A75,,,-1)</f>
        <v>5025</v>
      </c>
      <c r="F75">
        <v>394</v>
      </c>
    </row>
    <row r="76" spans="1:6" x14ac:dyDescent="0.25">
      <c r="A76" s="1">
        <v>45867</v>
      </c>
      <c r="B76">
        <f>_xll.ICEHistory("C 26UP300000-ICE","Last","D",A76,,,-1)</f>
        <v>24</v>
      </c>
      <c r="C76">
        <f>_xll.ICEHistory("C 26UP300000-ICE","Implied Volatility","D",A76,,,-1)</f>
        <v>29.58</v>
      </c>
      <c r="D76">
        <f>_xll.ICEHistory("C 26UP300000-ICE","Open Interest","D",A76,,,-1)</f>
        <v>0</v>
      </c>
      <c r="E76">
        <f>_xll.ICEHistory("C 26U-ICE","Last","D",A76,,,-1)</f>
        <v>4993</v>
      </c>
      <c r="F76">
        <v>395</v>
      </c>
    </row>
    <row r="77" spans="1:6" x14ac:dyDescent="0.25">
      <c r="A77" s="1">
        <v>45866</v>
      </c>
      <c r="B77">
        <f>_xll.ICEHistory("C 26UP300000-ICE","Last","D",A77,,,-1)</f>
        <v>22</v>
      </c>
      <c r="C77">
        <f>_xll.ICEHistory("C 26UP300000-ICE","Implied Volatility","D",A77,,,-1)</f>
        <v>29.29</v>
      </c>
      <c r="D77">
        <f>_xll.ICEHistory("C 26UP300000-ICE","Open Interest","D",A77,,,-1)</f>
        <v>0</v>
      </c>
      <c r="E77">
        <f>_xll.ICEHistory("C 26U-ICE","Last","D",A77,,,-1)</f>
        <v>5035</v>
      </c>
      <c r="F77">
        <v>396</v>
      </c>
    </row>
    <row r="78" spans="1:6" x14ac:dyDescent="0.25">
      <c r="A78" s="1">
        <v>45863</v>
      </c>
      <c r="B78">
        <f>_xll.ICEHistory("C 26UP300000-ICE","Last","D",A78,,,-1)</f>
        <v>21</v>
      </c>
      <c r="C78">
        <f>_xll.ICEHistory("C 26UP300000-ICE","Implied Volatility","D",A78,,,-1)</f>
        <v>28.67</v>
      </c>
      <c r="D78">
        <f>_xll.ICEHistory("C 26UP300000-ICE","Open Interest","D",A78,,,-1)</f>
        <v>0</v>
      </c>
      <c r="E78">
        <f>_xll.ICEHistory("C 26U-ICE","Last","D",A78,,,-1)</f>
        <v>4992</v>
      </c>
      <c r="F78">
        <v>399</v>
      </c>
    </row>
    <row r="79" spans="1:6" x14ac:dyDescent="0.25">
      <c r="A79" s="1">
        <v>45862</v>
      </c>
      <c r="B79">
        <f>_xll.ICEHistory("C 26UP300000-ICE","Last","D",A79,,,-1)</f>
        <v>23</v>
      </c>
      <c r="C79">
        <f>_xll.ICEHistory("C 26UP300000-ICE","Implied Volatility","D",A79,,,-1)</f>
        <v>28.21</v>
      </c>
      <c r="D79">
        <f>_xll.ICEHistory("C 26UP300000-ICE","Open Interest","D",A79,,,-1)</f>
        <v>0</v>
      </c>
      <c r="E79">
        <f>_xll.ICEHistory("C 26U-ICE","Last","D",A79,,,-1)</f>
        <v>4902</v>
      </c>
      <c r="F79">
        <v>400</v>
      </c>
    </row>
    <row r="80" spans="1:6" x14ac:dyDescent="0.25">
      <c r="A80" s="1">
        <v>45861</v>
      </c>
      <c r="B80">
        <f>_xll.ICEHistory("C 26UP300000-ICE","Last","D",A80,,,-1)</f>
        <v>18</v>
      </c>
      <c r="C80">
        <f>_xll.ICEHistory("C 26UP300000-ICE","Implied Volatility","D",A80,,,-1)</f>
        <v>27.74</v>
      </c>
      <c r="D80">
        <f>_xll.ICEHistory("C 26UP300000-ICE","Open Interest","D",A80,,,-1)</f>
        <v>0</v>
      </c>
      <c r="E80">
        <f>_xll.ICEHistory("C 26U-ICE","Last","D",A80,,,-1)</f>
        <v>5004</v>
      </c>
      <c r="F80">
        <v>401</v>
      </c>
    </row>
    <row r="81" spans="1:6" x14ac:dyDescent="0.25">
      <c r="A81" s="1">
        <v>45860</v>
      </c>
      <c r="B81">
        <f>_xll.ICEHistory("C 26UP300000-ICE","Last","D",A81,,,-1)</f>
        <v>19</v>
      </c>
      <c r="C81">
        <f>_xll.ICEHistory("C 26UP300000-ICE","Implied Volatility","D",A81,,,-1)</f>
        <v>27.92</v>
      </c>
      <c r="D81">
        <f>_xll.ICEHistory("C 26UP300000-ICE","Open Interest","D",A81,,,-1)</f>
        <v>0</v>
      </c>
      <c r="E81">
        <f>_xll.ICEHistory("C 26U-ICE","Last","D",A81,,,-1)</f>
        <v>4978</v>
      </c>
      <c r="F81">
        <v>402</v>
      </c>
    </row>
    <row r="82" spans="1:6" x14ac:dyDescent="0.25">
      <c r="A82" s="1">
        <v>45859</v>
      </c>
      <c r="B82">
        <f>_xll.ICEHistory("C 26UP300000-ICE","Last","D",A82,,,-1)</f>
        <v>23</v>
      </c>
      <c r="C82">
        <f>_xll.ICEHistory("C 26UP300000-ICE","Implied Volatility","D",A82,,,-1)</f>
        <v>27.55</v>
      </c>
      <c r="D82">
        <f>_xll.ICEHistory("C 26UP300000-ICE","Open Interest","D",A82,,,-1)</f>
        <v>0</v>
      </c>
      <c r="E82">
        <f>_xll.ICEHistory("C 26U-ICE","Last","D",A82,,,-1)</f>
        <v>4838</v>
      </c>
      <c r="F82">
        <v>403</v>
      </c>
    </row>
    <row r="83" spans="1:6" x14ac:dyDescent="0.25">
      <c r="A83" s="1">
        <v>45856</v>
      </c>
      <c r="B83">
        <f>_xll.ICEHistory("C 26UP300000-ICE","Last","D",A83,,,-1)</f>
        <v>28</v>
      </c>
      <c r="C83">
        <f>_xll.ICEHistory("C 26UP300000-ICE","Implied Volatility","D",A83,,,-1)</f>
        <v>28.19</v>
      </c>
      <c r="D83">
        <f>_xll.ICEHistory("C 26UP300000-ICE","Open Interest","D",A83,,,-1)</f>
        <v>0</v>
      </c>
      <c r="E83">
        <f>_xll.ICEHistory("C 26U-ICE","Last","D",A83,,,-1)</f>
        <v>4792</v>
      </c>
      <c r="F83">
        <v>406</v>
      </c>
    </row>
    <row r="84" spans="1:6" x14ac:dyDescent="0.25">
      <c r="A84" s="1">
        <v>45855</v>
      </c>
      <c r="B84">
        <f>_xll.ICEHistory("C 26UP300000-ICE","Last","D",A84,,,-1)</f>
        <v>44</v>
      </c>
      <c r="C84">
        <f>_xll.ICEHistory("C 26UP300000-ICE","Implied Volatility","D",A84,,,-1)</f>
        <v>30.29</v>
      </c>
      <c r="D84">
        <f>_xll.ICEHistory("C 26UP300000-ICE","Open Interest","D",A84,,,-1)</f>
        <v>0</v>
      </c>
      <c r="E84">
        <f>_xll.ICEHistory("C 26U-ICE","Last","D",A84,,,-1)</f>
        <v>4688</v>
      </c>
      <c r="F84">
        <v>407</v>
      </c>
    </row>
    <row r="85" spans="1:6" x14ac:dyDescent="0.25">
      <c r="A85" s="1">
        <v>45854</v>
      </c>
      <c r="B85">
        <f>_xll.ICEHistory("C 26UP300000-ICE","Last","D",A85,,,-1)</f>
        <v>0</v>
      </c>
      <c r="C85">
        <f>_xll.ICEHistory("C 26UP300000-ICE","Implied Volatility","D",A85,,,-1)</f>
        <v>0</v>
      </c>
      <c r="D85">
        <f>_xll.ICEHistory("C 26UP300000-ICE","Open Interest","D",A85,,,-1)</f>
        <v>0</v>
      </c>
      <c r="E85">
        <f>_xll.ICEHistory("C 26U-ICE","Last","D",A85,,,-1)</f>
        <v>4845</v>
      </c>
      <c r="F85">
        <v>408</v>
      </c>
    </row>
    <row r="86" spans="1:6" x14ac:dyDescent="0.25">
      <c r="A86" s="1">
        <v>45853</v>
      </c>
      <c r="B86">
        <f>_xll.ICEHistory("C 26UP300000-ICE","Last","D",A86,,,-1)</f>
        <v>0</v>
      </c>
      <c r="C86">
        <f>_xll.ICEHistory("C 26UP300000-ICE","Implied Volatility","D",A86,,,-1)</f>
        <v>0</v>
      </c>
      <c r="D86">
        <f>_xll.ICEHistory("C 26UP300000-ICE","Open Interest","D",A86,,,-1)</f>
        <v>0</v>
      </c>
      <c r="E86">
        <f>_xll.ICEHistory("C 26U-ICE","Last","D",A86,,,-1)</f>
        <v>4876</v>
      </c>
      <c r="F86">
        <v>409</v>
      </c>
    </row>
    <row r="87" spans="1:6" x14ac:dyDescent="0.25">
      <c r="A87" s="1">
        <v>45852</v>
      </c>
      <c r="B87">
        <f>_xll.ICEHistory("C 26UP300000-ICE","Last","D",A87,,,-1)</f>
        <v>0</v>
      </c>
      <c r="C87">
        <f>_xll.ICEHistory("C 26UP300000-ICE","Implied Volatility","D",A87,,,-1)</f>
        <v>0</v>
      </c>
      <c r="D87">
        <f>_xll.ICEHistory("C 26UP300000-ICE","Open Interest","D",A87,,,-1)</f>
        <v>0</v>
      </c>
      <c r="E87">
        <f>_xll.ICEHistory("C 26U-ICE","Last","D",A87,,,-1)</f>
        <v>4968</v>
      </c>
      <c r="F87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22D1-7DC9-4E79-99C3-959C2C498921}">
  <dimension ref="A1:I87"/>
  <sheetViews>
    <sheetView workbookViewId="0">
      <selection activeCell="C3" sqref="C3"/>
    </sheetView>
  </sheetViews>
  <sheetFormatPr defaultRowHeight="15" x14ac:dyDescent="0.25"/>
  <cols>
    <col min="1" max="1" width="10.42578125" style="1" bestFit="1" customWidth="1"/>
    <col min="2" max="2" width="16.5703125" bestFit="1" customWidth="1"/>
    <col min="5" max="5" width="10.42578125" bestFit="1" customWidth="1"/>
    <col min="9" max="9" width="10.42578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/>
    </row>
    <row r="2" spans="1:9" x14ac:dyDescent="0.25">
      <c r="A2" s="1">
        <v>45973</v>
      </c>
      <c r="B2">
        <f>_xll.ICEHistory("C 26NP300000-ICE","Last","D",A2,,,-1)</f>
        <v>42</v>
      </c>
      <c r="C2">
        <f>_xll.ICEHistory("C 26NP300000-ICE","Implied Volatility","D",A2,,,-1)</f>
        <v>32.68</v>
      </c>
      <c r="D2">
        <f>_xll.ICEHistory("C 26NP300000-ICE","Open Interest","D",A2,,,-1)</f>
        <v>300</v>
      </c>
      <c r="E2">
        <f>_xll.ICEHistory("C 26N-ICE","Last","D",A2,,,-1)</f>
        <v>4196</v>
      </c>
      <c r="F2">
        <v>230</v>
      </c>
    </row>
    <row r="3" spans="1:9" x14ac:dyDescent="0.25">
      <c r="A3" s="1">
        <v>45972</v>
      </c>
      <c r="B3">
        <f>_xll.ICEHistory("C 26NP300000-ICE","Last","D",A3,,,-1)</f>
        <v>40</v>
      </c>
      <c r="C3">
        <f>_xll.ICEHistory("C 26NP300000-ICE","Implied Volatility","D",A3,,,-1)</f>
        <v>32.130000000000003</v>
      </c>
      <c r="D3">
        <f>_xll.ICEHistory("C 26NP300000-ICE","Open Interest","D",A3,,,-1)</f>
        <v>300</v>
      </c>
      <c r="E3">
        <f>_xll.ICEHistory("C 26N-ICE","Last","D",A3,,,-1)</f>
        <v>4193</v>
      </c>
      <c r="F3">
        <v>231</v>
      </c>
    </row>
    <row r="4" spans="1:9" x14ac:dyDescent="0.25">
      <c r="A4" s="1">
        <v>45971</v>
      </c>
      <c r="B4">
        <f>_xll.ICEHistory("C 26NP300000-ICE","Last","D",A4,,,-1)</f>
        <v>30</v>
      </c>
      <c r="C4">
        <f>_xll.ICEHistory("C 26NP300000-ICE","Implied Volatility","D",A4,,,-1)</f>
        <v>32.75</v>
      </c>
      <c r="D4">
        <f>_xll.ICEHistory("C 26NP300000-ICE","Open Interest","D",A4,,,-1)</f>
        <v>300</v>
      </c>
      <c r="E4">
        <f>_xll.ICEHistory("C 26N-ICE","Last","D",A4,,,-1)</f>
        <v>4396</v>
      </c>
      <c r="F4">
        <v>232</v>
      </c>
    </row>
    <row r="5" spans="1:9" x14ac:dyDescent="0.25">
      <c r="A5" s="1">
        <v>45968</v>
      </c>
      <c r="B5">
        <f>_xll.ICEHistory("C 26NP300000-ICE","Last","D",A5,,,-1)</f>
        <v>33</v>
      </c>
      <c r="C5">
        <f>_xll.ICEHistory("C 26NP300000-ICE","Implied Volatility","D",A5,,,-1)</f>
        <v>32.869999999999997</v>
      </c>
      <c r="D5">
        <f>_xll.ICEHistory("C 26NP300000-ICE","Open Interest","D",A5,,,-1)</f>
        <v>300</v>
      </c>
      <c r="E5">
        <f>_xll.ICEHistory("C 26N-ICE","Last","D",A5,,,-1)</f>
        <v>4360</v>
      </c>
      <c r="F5">
        <v>235</v>
      </c>
    </row>
    <row r="6" spans="1:9" x14ac:dyDescent="0.25">
      <c r="A6" s="1">
        <v>45967</v>
      </c>
      <c r="B6">
        <f>_xll.ICEHistory("C 26NP300000-ICE","Last","D",A6,,,-1)</f>
        <v>30</v>
      </c>
      <c r="C6">
        <f>_xll.ICEHistory("C 26NP300000-ICE","Implied Volatility","D",A6,,,-1)</f>
        <v>33.729999999999997</v>
      </c>
      <c r="D6">
        <f>_xll.ICEHistory("C 26NP300000-ICE","Open Interest","D",A6,,,-1)</f>
        <v>300</v>
      </c>
      <c r="E6">
        <f>_xll.ICEHistory("C 26N-ICE","Last","D",A6,,,-1)</f>
        <v>4489</v>
      </c>
      <c r="F6">
        <v>236</v>
      </c>
    </row>
    <row r="7" spans="1:9" x14ac:dyDescent="0.25">
      <c r="A7" s="1">
        <v>45966</v>
      </c>
      <c r="B7">
        <f>_xll.ICEHistory("C 26NP300000-ICE","Last","D",A7,,,-1)</f>
        <v>25</v>
      </c>
      <c r="C7">
        <f>_xll.ICEHistory("C 26NP300000-ICE","Implied Volatility","D",A7,,,-1)</f>
        <v>34.72</v>
      </c>
      <c r="D7">
        <f>_xll.ICEHistory("C 26NP300000-ICE","Open Interest","D",A7,,,-1)</f>
        <v>300</v>
      </c>
      <c r="E7">
        <f>_xll.ICEHistory("C 26N-ICE","Last","D",A7,,,-1)</f>
        <v>4673</v>
      </c>
      <c r="F7">
        <v>237</v>
      </c>
    </row>
    <row r="8" spans="1:9" x14ac:dyDescent="0.25">
      <c r="A8" s="1">
        <v>45965</v>
      </c>
      <c r="B8">
        <f>_xll.ICEHistory("C 26NP300000-ICE","Last","D",A8,,,-1)</f>
        <v>22</v>
      </c>
      <c r="C8">
        <f>_xll.ICEHistory("C 26NP300000-ICE","Implied Volatility","D",A8,,,-1)</f>
        <v>35.479999999999997</v>
      </c>
      <c r="D8">
        <f>_xll.ICEHistory("C 26NP300000-ICE","Open Interest","D",A8,,,-1)</f>
        <v>300</v>
      </c>
      <c r="E8">
        <f>_xll.ICEHistory("C 26N-ICE","Last","D",A8,,,-1)</f>
        <v>4820</v>
      </c>
      <c r="F8">
        <v>238</v>
      </c>
    </row>
    <row r="9" spans="1:9" x14ac:dyDescent="0.25">
      <c r="A9" s="1">
        <v>45964</v>
      </c>
      <c r="B9">
        <f>_xll.ICEHistory("C 26NP300000-ICE","Last","D",A9,,,-1)</f>
        <v>22</v>
      </c>
      <c r="C9">
        <f>_xll.ICEHistory("C 26NP300000-ICE","Implied Volatility","D",A9,,,-1)</f>
        <v>34.700000000000003</v>
      </c>
      <c r="D9">
        <f>_xll.ICEHistory("C 26NP300000-ICE","Open Interest","D",A9,,,-1)</f>
        <v>300</v>
      </c>
      <c r="E9">
        <f>_xll.ICEHistory("C 26N-ICE","Last","D",A9,,,-1)</f>
        <v>4758</v>
      </c>
      <c r="F9">
        <v>239</v>
      </c>
    </row>
    <row r="10" spans="1:9" x14ac:dyDescent="0.25">
      <c r="A10" s="1">
        <v>45961</v>
      </c>
      <c r="B10">
        <f>_xll.ICEHistory("C 26NP300000-ICE","Last","D",A10,,,-1)</f>
        <v>33</v>
      </c>
      <c r="C10">
        <f>_xll.ICEHistory("C 26NP300000-ICE","Implied Volatility","D",A10,,,-1)</f>
        <v>33.770000000000003</v>
      </c>
      <c r="D10">
        <f>_xll.ICEHistory("C 26NP300000-ICE","Open Interest","D",A10,,,-1)</f>
        <v>300</v>
      </c>
      <c r="E10">
        <f>_xll.ICEHistory("C 26N-ICE","Last","D",A10,,,-1)</f>
        <v>4462</v>
      </c>
      <c r="F10">
        <v>242</v>
      </c>
    </row>
    <row r="11" spans="1:9" x14ac:dyDescent="0.25">
      <c r="A11" s="1">
        <v>45960</v>
      </c>
      <c r="B11">
        <f>_xll.ICEHistory("C 26NP300000-ICE","Last","D",A11,,,-1)</f>
        <v>34</v>
      </c>
      <c r="C11">
        <f>_xll.ICEHistory("C 26NP300000-ICE","Implied Volatility","D",A11,,,-1)</f>
        <v>32.25</v>
      </c>
      <c r="D11">
        <f>_xll.ICEHistory("C 26NP300000-ICE","Open Interest","D",A11,,,-1)</f>
        <v>300</v>
      </c>
      <c r="E11">
        <f>_xll.ICEHistory("C 26N-ICE","Last","D",A11,,,-1)</f>
        <v>4349</v>
      </c>
      <c r="F11">
        <v>243</v>
      </c>
    </row>
    <row r="12" spans="1:9" x14ac:dyDescent="0.25">
      <c r="A12" s="1">
        <v>45959</v>
      </c>
      <c r="B12">
        <f>_xll.ICEHistory("C 26NP300000-ICE","Last","D",A12,,,-1)</f>
        <v>34</v>
      </c>
      <c r="C12">
        <f>_xll.ICEHistory("C 26NP300000-ICE","Implied Volatility","D",A12,,,-1)</f>
        <v>31.9</v>
      </c>
      <c r="D12">
        <f>_xll.ICEHistory("C 26NP300000-ICE","Open Interest","D",A12,,,-1)</f>
        <v>300</v>
      </c>
      <c r="E12">
        <f>_xll.ICEHistory("C 26N-ICE","Last","D",A12,,,-1)</f>
        <v>4326</v>
      </c>
      <c r="F12">
        <v>244</v>
      </c>
    </row>
    <row r="13" spans="1:9" x14ac:dyDescent="0.25">
      <c r="A13" s="1">
        <v>45958</v>
      </c>
      <c r="B13">
        <f>_xll.ICEHistory("C 26NP300000-ICE","Last","D",A13,,,-1)</f>
        <v>42</v>
      </c>
      <c r="C13">
        <f>_xll.ICEHistory("C 26NP300000-ICE","Implied Volatility","D",A13,,,-1)</f>
        <v>32.479999999999997</v>
      </c>
      <c r="D13">
        <f>_xll.ICEHistory("C 26NP300000-ICE","Open Interest","D",A13,,,-1)</f>
        <v>300</v>
      </c>
      <c r="E13">
        <f>_xll.ICEHistory("C 26N-ICE","Last","D",A13,,,-1)</f>
        <v>4254</v>
      </c>
      <c r="F13">
        <v>245</v>
      </c>
    </row>
    <row r="14" spans="1:9" x14ac:dyDescent="0.25">
      <c r="A14" s="1">
        <v>45957</v>
      </c>
      <c r="B14">
        <f>_xll.ICEHistory("C 26NP300000-ICE","Last","D",A14,,,-1)</f>
        <v>31</v>
      </c>
      <c r="C14">
        <f>_xll.ICEHistory("C 26NP300000-ICE","Implied Volatility","D",A14,,,-1)</f>
        <v>31.61</v>
      </c>
      <c r="D14">
        <f>_xll.ICEHistory("C 26NP300000-ICE","Open Interest","D",A14,,,-1)</f>
        <v>300</v>
      </c>
      <c r="E14">
        <f>_xll.ICEHistory("C 26N-ICE","Last","D",A14,,,-1)</f>
        <v>4357</v>
      </c>
      <c r="F14">
        <v>246</v>
      </c>
    </row>
    <row r="15" spans="1:9" x14ac:dyDescent="0.25">
      <c r="A15" s="1">
        <v>45954</v>
      </c>
      <c r="B15">
        <f>_xll.ICEHistory("C 26NP300000-ICE","Last","D",A15,,,-1)</f>
        <v>28</v>
      </c>
      <c r="C15">
        <f>_xll.ICEHistory("C 26NP300000-ICE","Implied Volatility","D",A15,,,-1)</f>
        <v>32.83</v>
      </c>
      <c r="D15">
        <f>_xll.ICEHistory("C 26NP300000-ICE","Open Interest","D",A15,,,-1)</f>
        <v>300</v>
      </c>
      <c r="E15">
        <f>_xll.ICEHistory("C 26N-ICE","Last","D",A15,,,-1)</f>
        <v>4533</v>
      </c>
      <c r="F15">
        <v>249</v>
      </c>
    </row>
    <row r="16" spans="1:9" x14ac:dyDescent="0.25">
      <c r="A16" s="1">
        <v>45953</v>
      </c>
      <c r="B16">
        <f>_xll.ICEHistory("C 26NP300000-ICE","Last","D",A16,,,-1)</f>
        <v>27</v>
      </c>
      <c r="C16">
        <f>_xll.ICEHistory("C 26NP300000-ICE","Implied Volatility","D",A16,,,-1)</f>
        <v>32.89</v>
      </c>
      <c r="D16">
        <f>_xll.ICEHistory("C 26NP300000-ICE","Open Interest","D",A16,,,-1)</f>
        <v>300</v>
      </c>
      <c r="E16">
        <f>_xll.ICEHistory("C 26N-ICE","Last","D",A16,,,-1)</f>
        <v>4552</v>
      </c>
      <c r="F16">
        <v>250</v>
      </c>
    </row>
    <row r="17" spans="1:6" x14ac:dyDescent="0.25">
      <c r="A17" s="1">
        <v>45952</v>
      </c>
      <c r="B17">
        <f>_xll.ICEHistory("C 26NP300000-ICE","Last","D",A17,,,-1)</f>
        <v>29</v>
      </c>
      <c r="C17">
        <f>_xll.ICEHistory("C 26NP300000-ICE","Implied Volatility","D",A17,,,-1)</f>
        <v>32.71</v>
      </c>
      <c r="D17">
        <f>_xll.ICEHistory("C 26NP300000-ICE","Open Interest","D",A17,,,-1)</f>
        <v>300</v>
      </c>
      <c r="E17">
        <f>_xll.ICEHistory("C 26N-ICE","Last","D",A17,,,-1)</f>
        <v>4513</v>
      </c>
      <c r="F17">
        <v>251</v>
      </c>
    </row>
    <row r="18" spans="1:6" x14ac:dyDescent="0.25">
      <c r="A18" s="1">
        <v>45951</v>
      </c>
      <c r="B18">
        <f>_xll.ICEHistory("C 26NP300000-ICE","Last","D",A18,,,-1)</f>
        <v>50</v>
      </c>
      <c r="C18">
        <f>_xll.ICEHistory("C 26NP300000-ICE","Implied Volatility","D",A18,,,-1)</f>
        <v>32.61</v>
      </c>
      <c r="D18">
        <f>_xll.ICEHistory("C 26NP300000-ICE","Open Interest","D",A18,,,-1)</f>
        <v>300</v>
      </c>
      <c r="E18">
        <f>_xll.ICEHistory("C 26N-ICE","Last","D",A18,,,-1)</f>
        <v>4189</v>
      </c>
      <c r="F18">
        <v>252</v>
      </c>
    </row>
    <row r="19" spans="1:6" x14ac:dyDescent="0.25">
      <c r="A19" s="1">
        <v>45950</v>
      </c>
      <c r="B19">
        <f>_xll.ICEHistory("C 26NP300000-ICE","Last","D",A19,,,-1)</f>
        <v>54</v>
      </c>
      <c r="C19">
        <f>_xll.ICEHistory("C 26NP300000-ICE","Implied Volatility","D",A19,,,-1)</f>
        <v>32.659999999999997</v>
      </c>
      <c r="D19">
        <f>_xll.ICEHistory("C 26NP300000-ICE","Open Interest","D",A19,,,-1)</f>
        <v>300</v>
      </c>
      <c r="E19">
        <f>_xll.ICEHistory("C 26N-ICE","Last","D",A19,,,-1)</f>
        <v>4147</v>
      </c>
      <c r="F19">
        <v>253</v>
      </c>
    </row>
    <row r="20" spans="1:6" x14ac:dyDescent="0.25">
      <c r="A20" s="1">
        <v>45947</v>
      </c>
      <c r="B20">
        <f>_xll.ICEHistory("C 26NP300000-ICE","Last","D",A20,,,-1)</f>
        <v>56</v>
      </c>
      <c r="C20">
        <f>_xll.ICEHistory("C 26NP300000-ICE","Implied Volatility","D",A20,,,-1)</f>
        <v>33.159999999999997</v>
      </c>
      <c r="D20">
        <f>_xll.ICEHistory("C 26NP300000-ICE","Open Interest","D",A20,,,-1)</f>
        <v>300</v>
      </c>
      <c r="E20">
        <f>_xll.ICEHistory("C 26N-ICE","Last","D",A20,,,-1)</f>
        <v>4171</v>
      </c>
      <c r="F20">
        <v>256</v>
      </c>
    </row>
    <row r="21" spans="1:6" x14ac:dyDescent="0.25">
      <c r="A21" s="1">
        <v>45946</v>
      </c>
      <c r="B21">
        <f>_xll.ICEHistory("C 26NP300000-ICE","Last","D",A21,,,-1)</f>
        <v>53</v>
      </c>
      <c r="C21">
        <f>_xll.ICEHistory("C 26NP300000-ICE","Implied Volatility","D",A21,,,-1)</f>
        <v>33.44</v>
      </c>
      <c r="D21">
        <f>_xll.ICEHistory("C 26NP300000-ICE","Open Interest","D",A21,,,-1)</f>
        <v>300</v>
      </c>
      <c r="E21">
        <f>_xll.ICEHistory("C 26N-ICE","Last","D",A21,,,-1)</f>
        <v>4231</v>
      </c>
      <c r="F21">
        <v>257</v>
      </c>
    </row>
    <row r="22" spans="1:6" x14ac:dyDescent="0.25">
      <c r="A22" s="1">
        <v>45945</v>
      </c>
      <c r="B22">
        <f>_xll.ICEHistory("C 26NP300000-ICE","Last","D",A22,,,-1)</f>
        <v>66</v>
      </c>
      <c r="C22">
        <f>_xll.ICEHistory("C 26NP300000-ICE","Implied Volatility","D",A22,,,-1)</f>
        <v>33.700000000000003</v>
      </c>
      <c r="D22">
        <f>_xll.ICEHistory("C 26NP300000-ICE","Open Interest","D",A22,,,-1)</f>
        <v>300</v>
      </c>
      <c r="E22">
        <f>_xll.ICEHistory("C 26N-ICE","Last","D",A22,,,-1)</f>
        <v>4117</v>
      </c>
      <c r="F22">
        <v>258</v>
      </c>
    </row>
    <row r="23" spans="1:6" x14ac:dyDescent="0.25">
      <c r="A23" s="1">
        <v>45944</v>
      </c>
      <c r="B23">
        <f>_xll.ICEHistory("C 26NP300000-ICE","Last","D",A23,,,-1)</f>
        <v>52</v>
      </c>
      <c r="C23">
        <f>_xll.ICEHistory("C 26NP300000-ICE","Implied Volatility","D",A23,,,-1)</f>
        <v>32.86</v>
      </c>
      <c r="D23">
        <f>_xll.ICEHistory("C 26NP300000-ICE","Open Interest","D",A23,,,-1)</f>
        <v>300</v>
      </c>
      <c r="E23">
        <f>_xll.ICEHistory("C 26N-ICE","Last","D",A23,,,-1)</f>
        <v>4208</v>
      </c>
      <c r="F23">
        <v>259</v>
      </c>
    </row>
    <row r="24" spans="1:6" x14ac:dyDescent="0.25">
      <c r="A24" s="1">
        <v>45943</v>
      </c>
      <c r="B24">
        <f>_xll.ICEHistory("C 26NP300000-ICE","Last","D",A24,,,-1)</f>
        <v>55</v>
      </c>
      <c r="C24">
        <f>_xll.ICEHistory("C 26NP300000-ICE","Implied Volatility","D",A24,,,-1)</f>
        <v>32.64</v>
      </c>
      <c r="D24">
        <f>_xll.ICEHistory("C 26NP300000-ICE","Open Interest","D",A24,,,-1)</f>
        <v>300</v>
      </c>
      <c r="E24">
        <f>_xll.ICEHistory("C 26N-ICE","Last","D",A24,,,-1)</f>
        <v>4169</v>
      </c>
      <c r="F24">
        <v>260</v>
      </c>
    </row>
    <row r="25" spans="1:6" x14ac:dyDescent="0.25">
      <c r="A25" s="1">
        <v>45940</v>
      </c>
      <c r="B25">
        <f>_xll.ICEHistory("C 26NP300000-ICE","Last","D",A25,,,-1)</f>
        <v>64</v>
      </c>
      <c r="C25">
        <f>_xll.ICEHistory("C 26NP300000-ICE","Implied Volatility","D",A25,,,-1)</f>
        <v>33.630000000000003</v>
      </c>
      <c r="D25">
        <f>_xll.ICEHistory("C 26NP300000-ICE","Open Interest","D",A25,,,-1)</f>
        <v>300</v>
      </c>
      <c r="E25">
        <f>_xll.ICEHistory("C 26N-ICE","Last","D",A25,,,-1)</f>
        <v>4152</v>
      </c>
      <c r="F25">
        <v>263</v>
      </c>
    </row>
    <row r="26" spans="1:6" x14ac:dyDescent="0.25">
      <c r="A26" s="1">
        <v>45939</v>
      </c>
      <c r="B26">
        <f>_xll.ICEHistory("C 26NP300000-ICE","Last","D",A26,,,-1)</f>
        <v>60</v>
      </c>
      <c r="C26">
        <f>_xll.ICEHistory("C 26NP300000-ICE","Implied Volatility","D",A26,,,-1)</f>
        <v>34.35</v>
      </c>
      <c r="D26">
        <f>_xll.ICEHistory("C 26NP300000-ICE","Open Interest","D",A26,,,-1)</f>
        <v>300</v>
      </c>
      <c r="E26">
        <f>_xll.ICEHistory("C 26N-ICE","Last","D",A26,,,-1)</f>
        <v>4234</v>
      </c>
      <c r="F26">
        <v>264</v>
      </c>
    </row>
    <row r="27" spans="1:6" x14ac:dyDescent="0.25">
      <c r="A27" s="1">
        <v>45938</v>
      </c>
      <c r="B27">
        <f>_xll.ICEHistory("C 26NP300000-ICE","Last","D",A27,,,-1)</f>
        <v>55</v>
      </c>
      <c r="C27">
        <f>_xll.ICEHistory("C 26NP300000-ICE","Implied Volatility","D",A27,,,-1)</f>
        <v>33.090000000000003</v>
      </c>
      <c r="D27">
        <f>_xll.ICEHistory("C 26NP300000-ICE","Open Interest","D",A27,,,-1)</f>
        <v>300</v>
      </c>
      <c r="E27">
        <f>_xll.ICEHistory("C 26N-ICE","Last","D",A27,,,-1)</f>
        <v>4214</v>
      </c>
      <c r="F27">
        <v>265</v>
      </c>
    </row>
    <row r="28" spans="1:6" x14ac:dyDescent="0.25">
      <c r="A28" s="1">
        <v>45937</v>
      </c>
      <c r="B28">
        <f>_xll.ICEHistory("C 26NP300000-ICE","Last","D",A28,,,-1)</f>
        <v>45</v>
      </c>
      <c r="C28">
        <f>_xll.ICEHistory("C 26NP300000-ICE","Implied Volatility","D",A28,,,-1)</f>
        <v>32.51</v>
      </c>
      <c r="D28">
        <f>_xll.ICEHistory("C 26NP300000-ICE","Open Interest","D",A28,,,-1)</f>
        <v>300</v>
      </c>
      <c r="E28">
        <f>_xll.ICEHistory("C 26N-ICE","Last","D",A28,,,-1)</f>
        <v>4310</v>
      </c>
      <c r="F28">
        <v>266</v>
      </c>
    </row>
    <row r="29" spans="1:6" x14ac:dyDescent="0.25">
      <c r="A29" s="1">
        <v>45936</v>
      </c>
      <c r="B29">
        <f>_xll.ICEHistory("C 26NP300000-ICE","Last","D",A29,,,-1)</f>
        <v>39</v>
      </c>
      <c r="C29">
        <f>_xll.ICEHistory("C 26NP300000-ICE","Implied Volatility","D",A29,,,-1)</f>
        <v>32.68</v>
      </c>
      <c r="D29">
        <f>_xll.ICEHistory("C 26NP300000-ICE","Open Interest","D",A29,,,-1)</f>
        <v>300</v>
      </c>
      <c r="E29">
        <f>_xll.ICEHistory("C 26N-ICE","Last","D",A29,,,-1)</f>
        <v>4406</v>
      </c>
      <c r="F29">
        <v>267</v>
      </c>
    </row>
    <row r="30" spans="1:6" x14ac:dyDescent="0.25">
      <c r="A30" s="1">
        <v>45933</v>
      </c>
      <c r="B30">
        <f>_xll.ICEHistory("C 26NP300000-ICE","Last","D",A30,,,-1)</f>
        <v>42</v>
      </c>
      <c r="C30">
        <f>_xll.ICEHistory("C 26NP300000-ICE","Implied Volatility","D",A30,,,-1)</f>
        <v>32.47</v>
      </c>
      <c r="D30">
        <f>_xll.ICEHistory("C 26NP300000-ICE","Open Interest","D",A30,,,-1)</f>
        <v>300</v>
      </c>
      <c r="E30">
        <f>_xll.ICEHistory("C 26N-ICE","Last","D",A30,,,-1)</f>
        <v>4363</v>
      </c>
      <c r="F30">
        <v>270</v>
      </c>
    </row>
    <row r="31" spans="1:6" x14ac:dyDescent="0.25">
      <c r="A31" s="1">
        <v>45932</v>
      </c>
      <c r="B31">
        <f>_xll.ICEHistory("C 26NP300000-ICE","Last","D",A31,,,-1)</f>
        <v>33</v>
      </c>
      <c r="C31">
        <f>_xll.ICEHistory("C 26NP300000-ICE","Implied Volatility","D",A31,,,-1)</f>
        <v>33.1</v>
      </c>
      <c r="D31">
        <f>_xll.ICEHistory("C 26NP300000-ICE","Open Interest","D",A31,,,-1)</f>
        <v>300</v>
      </c>
      <c r="E31">
        <f>_xll.ICEHistory("C 26N-ICE","Last","D",A31,,,-1)</f>
        <v>4551</v>
      </c>
      <c r="F31">
        <v>271</v>
      </c>
    </row>
    <row r="32" spans="1:6" x14ac:dyDescent="0.25">
      <c r="A32" s="1">
        <v>45931</v>
      </c>
      <c r="B32">
        <f>_xll.ICEHistory("C 26NP300000-ICE","Last","D",A32,,,-1)</f>
        <v>34</v>
      </c>
      <c r="C32">
        <f>_xll.ICEHistory("C 26NP300000-ICE","Implied Volatility","D",A32,,,-1)</f>
        <v>34.89</v>
      </c>
      <c r="D32">
        <f>_xll.ICEHistory("C 26NP300000-ICE","Open Interest","D",A32,,,-1)</f>
        <v>300</v>
      </c>
      <c r="E32">
        <f>_xll.ICEHistory("C 26N-ICE","Last","D",A32,,,-1)</f>
        <v>4701</v>
      </c>
      <c r="F32">
        <v>272</v>
      </c>
    </row>
    <row r="33" spans="1:6" x14ac:dyDescent="0.25">
      <c r="A33" s="1">
        <v>45930</v>
      </c>
      <c r="B33">
        <f>_xll.ICEHistory("C 26NP300000-ICE","Last","D",A33,,,-1)</f>
        <v>32</v>
      </c>
      <c r="C33">
        <f>_xll.ICEHistory("C 26NP300000-ICE","Implied Volatility","D",A33,,,-1)</f>
        <v>34.94</v>
      </c>
      <c r="D33">
        <f>_xll.ICEHistory("C 26NP300000-ICE","Open Interest","D",A33,,,-1)</f>
        <v>300</v>
      </c>
      <c r="E33">
        <f>_xll.ICEHistory("C 26N-ICE","Last","D",A33,,,-1)</f>
        <v>4739</v>
      </c>
      <c r="F33">
        <v>273</v>
      </c>
    </row>
    <row r="34" spans="1:6" x14ac:dyDescent="0.25">
      <c r="A34" s="1">
        <v>45929</v>
      </c>
      <c r="B34">
        <f>_xll.ICEHistory("C 26NP300000-ICE","Last","D",A34,,,-1)</f>
        <v>23</v>
      </c>
      <c r="C34">
        <f>_xll.ICEHistory("C 26NP300000-ICE","Implied Volatility","D",A34,,,-1)</f>
        <v>33.81</v>
      </c>
      <c r="D34">
        <f>_xll.ICEHistory("C 26NP300000-ICE","Open Interest","D",A34,,,-1)</f>
        <v>300</v>
      </c>
      <c r="E34">
        <f>_xll.ICEHistory("C 26N-ICE","Last","D",A34,,,-1)</f>
        <v>4850</v>
      </c>
      <c r="F34">
        <v>274</v>
      </c>
    </row>
    <row r="35" spans="1:6" x14ac:dyDescent="0.25">
      <c r="A35" s="1">
        <v>45926</v>
      </c>
      <c r="B35">
        <f>_xll.ICEHistory("C 26NP300000-ICE","Last","D",A35,,,-1)</f>
        <v>24</v>
      </c>
      <c r="C35">
        <f>_xll.ICEHistory("C 26NP300000-ICE","Implied Volatility","D",A35,,,-1)</f>
        <v>33.409999999999997</v>
      </c>
      <c r="D35">
        <f>_xll.ICEHistory("C 26NP300000-ICE","Open Interest","D",A35,,,-1)</f>
        <v>250</v>
      </c>
      <c r="E35">
        <f>_xll.ICEHistory("C 26N-ICE","Last","D",A35,,,-1)</f>
        <v>4826</v>
      </c>
      <c r="F35">
        <v>277</v>
      </c>
    </row>
    <row r="36" spans="1:6" x14ac:dyDescent="0.25">
      <c r="A36" s="1">
        <v>45925</v>
      </c>
      <c r="B36">
        <f>_xll.ICEHistory("C 26NP300000-ICE","Last","D",A36,,,-1)</f>
        <v>20</v>
      </c>
      <c r="C36">
        <f>_xll.ICEHistory("C 26NP300000-ICE","Implied Volatility","D",A36,,,-1)</f>
        <v>32.6</v>
      </c>
      <c r="D36">
        <f>_xll.ICEHistory("C 26NP300000-ICE","Open Interest","D",A36,,,-1)</f>
        <v>250</v>
      </c>
      <c r="E36">
        <f>_xll.ICEHistory("C 26N-ICE","Last","D",A36,,,-1)</f>
        <v>4862</v>
      </c>
      <c r="F36">
        <v>278</v>
      </c>
    </row>
    <row r="37" spans="1:6" x14ac:dyDescent="0.25">
      <c r="A37" s="1">
        <v>45924</v>
      </c>
      <c r="B37">
        <f>_xll.ICEHistory("C 26NP300000-ICE","Last","D",A37,,,-1)</f>
        <v>18</v>
      </c>
      <c r="C37">
        <f>_xll.ICEHistory("C 26NP300000-ICE","Implied Volatility","D",A37,,,-1)</f>
        <v>32.36</v>
      </c>
      <c r="D37">
        <f>_xll.ICEHistory("C 26NP300000-ICE","Open Interest","D",A37,,,-1)</f>
        <v>250</v>
      </c>
      <c r="E37">
        <f>_xll.ICEHistory("C 26N-ICE","Last","D",A37,,,-1)</f>
        <v>4897</v>
      </c>
      <c r="F37">
        <v>279</v>
      </c>
    </row>
    <row r="38" spans="1:6" x14ac:dyDescent="0.25">
      <c r="A38" s="1">
        <v>45923</v>
      </c>
      <c r="B38">
        <f>_xll.ICEHistory("C 26NP300000-ICE","Last","D",A38,,,-1)</f>
        <v>19</v>
      </c>
      <c r="C38">
        <f>_xll.ICEHistory("C 26NP300000-ICE","Implied Volatility","D",A38,,,-1)</f>
        <v>32.33</v>
      </c>
      <c r="D38">
        <f>_xll.ICEHistory("C 26NP300000-ICE","Open Interest","D",A38,,,-1)</f>
        <v>250</v>
      </c>
      <c r="E38">
        <f>_xll.ICEHistory("C 26N-ICE","Last","D",A38,,,-1)</f>
        <v>4868</v>
      </c>
      <c r="F38">
        <v>280</v>
      </c>
    </row>
    <row r="39" spans="1:6" x14ac:dyDescent="0.25">
      <c r="A39" s="1">
        <v>45922</v>
      </c>
      <c r="B39">
        <f>_xll.ICEHistory("C 26NP300000-ICE","Last","D",A39,,,-1)</f>
        <v>19</v>
      </c>
      <c r="C39">
        <f>_xll.ICEHistory("C 26NP300000-ICE","Implied Volatility","D",A39,,,-1)</f>
        <v>32.31</v>
      </c>
      <c r="D39">
        <f>_xll.ICEHistory("C 26NP300000-ICE","Open Interest","D",A39,,,-1)</f>
        <v>250</v>
      </c>
      <c r="E39">
        <f>_xll.ICEHistory("C 26N-ICE","Last","D",A39,,,-1)</f>
        <v>4885</v>
      </c>
      <c r="F39">
        <v>281</v>
      </c>
    </row>
    <row r="40" spans="1:6" x14ac:dyDescent="0.25">
      <c r="A40" s="1">
        <v>45919</v>
      </c>
      <c r="B40">
        <f>_xll.ICEHistory("C 26NP300000-ICE","Last","D",A40,,,-1)</f>
        <v>16</v>
      </c>
      <c r="C40">
        <f>_xll.ICEHistory("C 26NP300000-ICE","Implied Volatility","D",A40,,,-1)</f>
        <v>32.26</v>
      </c>
      <c r="D40">
        <f>_xll.ICEHistory("C 26NP300000-ICE","Open Interest","D",A40,,,-1)</f>
        <v>250</v>
      </c>
      <c r="E40">
        <f>_xll.ICEHistory("C 26N-ICE","Last","D",A40,,,-1)</f>
        <v>4982</v>
      </c>
      <c r="F40">
        <v>284</v>
      </c>
    </row>
    <row r="41" spans="1:6" x14ac:dyDescent="0.25">
      <c r="A41" s="1">
        <v>45918</v>
      </c>
      <c r="B41">
        <f>_xll.ICEHistory("C 26NP300000-ICE","Last","D",A41,,,-1)</f>
        <v>17</v>
      </c>
      <c r="C41">
        <f>_xll.ICEHistory("C 26NP300000-ICE","Implied Volatility","D",A41,,,-1)</f>
        <v>32.200000000000003</v>
      </c>
      <c r="D41">
        <f>_xll.ICEHistory("C 26NP300000-ICE","Open Interest","D",A41,,,-1)</f>
        <v>250</v>
      </c>
      <c r="E41">
        <f>_xll.ICEHistory("C 26N-ICE","Last","D",A41,,,-1)</f>
        <v>4944</v>
      </c>
      <c r="F41">
        <v>285</v>
      </c>
    </row>
    <row r="42" spans="1:6" x14ac:dyDescent="0.25">
      <c r="A42" s="1">
        <v>45917</v>
      </c>
      <c r="B42">
        <f>_xll.ICEHistory("C 26NP300000-ICE","Last","D",A42,,,-1)</f>
        <v>17</v>
      </c>
      <c r="C42">
        <f>_xll.ICEHistory("C 26NP300000-ICE","Implied Volatility","D",A42,,,-1)</f>
        <v>32.64</v>
      </c>
      <c r="D42">
        <f>_xll.ICEHistory("C 26NP300000-ICE","Open Interest","D",A42,,,-1)</f>
        <v>250</v>
      </c>
      <c r="E42">
        <f>_xll.ICEHistory("C 26N-ICE","Last","D",A42,,,-1)</f>
        <v>4995</v>
      </c>
      <c r="F42">
        <v>286</v>
      </c>
    </row>
    <row r="43" spans="1:6" x14ac:dyDescent="0.25">
      <c r="A43" s="1">
        <v>45916</v>
      </c>
      <c r="B43">
        <f>_xll.ICEHistory("C 26NP300000-ICE","Last","D",A43,,,-1)</f>
        <v>17</v>
      </c>
      <c r="C43">
        <f>_xll.ICEHistory("C 26NP300000-ICE","Implied Volatility","D",A43,,,-1)</f>
        <v>32.28</v>
      </c>
      <c r="D43">
        <f>_xll.ICEHistory("C 26NP300000-ICE","Open Interest","D",A43,,,-1)</f>
        <v>250</v>
      </c>
      <c r="E43">
        <f>_xll.ICEHistory("C 26N-ICE","Last","D",A43,,,-1)</f>
        <v>4983</v>
      </c>
      <c r="F43">
        <v>287</v>
      </c>
    </row>
    <row r="44" spans="1:6" x14ac:dyDescent="0.25">
      <c r="A44" s="1">
        <v>45915</v>
      </c>
      <c r="B44">
        <f>_xll.ICEHistory("C 26NP300000-ICE","Last","D",A44,,,-1)</f>
        <v>23</v>
      </c>
      <c r="C44">
        <f>_xll.ICEHistory("C 26NP300000-ICE","Implied Volatility","D",A44,,,-1)</f>
        <v>35.119999999999997</v>
      </c>
      <c r="D44">
        <f>_xll.ICEHistory("C 26NP300000-ICE","Open Interest","D",A44,,,-1)</f>
        <v>250</v>
      </c>
      <c r="E44">
        <f>_xll.ICEHistory("C 26N-ICE","Last","D",A44,,,-1)</f>
        <v>5076</v>
      </c>
      <c r="F44">
        <v>288</v>
      </c>
    </row>
    <row r="45" spans="1:6" x14ac:dyDescent="0.25">
      <c r="A45" s="1">
        <v>45912</v>
      </c>
      <c r="B45">
        <f>_xll.ICEHistory("C 26NP300000-ICE","Last","D",A45,,,-1)</f>
        <v>25</v>
      </c>
      <c r="C45">
        <f>_xll.ICEHistory("C 26NP300000-ICE","Implied Volatility","D",A45,,,-1)</f>
        <v>34.89</v>
      </c>
      <c r="D45">
        <f>_xll.ICEHistory("C 26NP300000-ICE","Open Interest","D",A45,,,-1)</f>
        <v>250</v>
      </c>
      <c r="E45">
        <f>_xll.ICEHistory("C 26N-ICE","Last","D",A45,,,-1)</f>
        <v>4998</v>
      </c>
      <c r="F45">
        <v>291</v>
      </c>
    </row>
    <row r="46" spans="1:6" x14ac:dyDescent="0.25">
      <c r="A46" s="1">
        <v>45911</v>
      </c>
      <c r="B46">
        <f>_xll.ICEHistory("C 26NP300000-ICE","Last","D",A46,,,-1)</f>
        <v>26</v>
      </c>
      <c r="C46">
        <f>_xll.ICEHistory("C 26NP300000-ICE","Implied Volatility","D",A46,,,-1)</f>
        <v>35.93</v>
      </c>
      <c r="D46">
        <f>_xll.ICEHistory("C 26NP300000-ICE","Open Interest","D",A46,,,-1)</f>
        <v>250</v>
      </c>
      <c r="E46">
        <f>_xll.ICEHistory("C 26N-ICE","Last","D",A46,,,-1)</f>
        <v>5080</v>
      </c>
      <c r="F46">
        <v>292</v>
      </c>
    </row>
    <row r="47" spans="1:6" x14ac:dyDescent="0.25">
      <c r="A47" s="1">
        <v>45910</v>
      </c>
      <c r="B47">
        <f>_xll.ICEHistory("C 26NP300000-ICE","Last","D",A47,,,-1)</f>
        <v>34</v>
      </c>
      <c r="C47">
        <f>_xll.ICEHistory("C 26NP300000-ICE","Implied Volatility","D",A47,,,-1)</f>
        <v>37.43</v>
      </c>
      <c r="D47">
        <f>_xll.ICEHistory("C 26NP300000-ICE","Open Interest","D",A47,,,-1)</f>
        <v>250</v>
      </c>
      <c r="E47">
        <f>_xll.ICEHistory("C 26N-ICE","Last","D",A47,,,-1)</f>
        <v>5049</v>
      </c>
      <c r="F47">
        <v>293</v>
      </c>
    </row>
    <row r="48" spans="1:6" x14ac:dyDescent="0.25">
      <c r="A48" s="1">
        <v>45909</v>
      </c>
      <c r="B48">
        <f>_xll.ICEHistory("C 26NP300000-ICE","Last","D",A48,,,-1)</f>
        <v>36</v>
      </c>
      <c r="C48">
        <f>_xll.ICEHistory("C 26NP300000-ICE","Implied Volatility","D",A48,,,-1)</f>
        <v>37.11</v>
      </c>
      <c r="D48">
        <f>_xll.ICEHistory("C 26NP300000-ICE","Open Interest","D",A48,,,-1)</f>
        <v>250</v>
      </c>
      <c r="E48">
        <f>_xll.ICEHistory("C 26N-ICE","Last","D",A48,,,-1)</f>
        <v>4971</v>
      </c>
      <c r="F48">
        <v>294</v>
      </c>
    </row>
    <row r="49" spans="1:6" x14ac:dyDescent="0.25">
      <c r="A49" s="1">
        <v>45908</v>
      </c>
      <c r="B49">
        <f>_xll.ICEHistory("C 26NP300000-ICE","Last","D",A49,,,-1)</f>
        <v>41</v>
      </c>
      <c r="C49">
        <f>_xll.ICEHistory("C 26NP300000-ICE","Implied Volatility","D",A49,,,-1)</f>
        <v>37.479999999999997</v>
      </c>
      <c r="D49">
        <f>_xll.ICEHistory("C 26NP300000-ICE","Open Interest","D",A49,,,-1)</f>
        <v>250</v>
      </c>
      <c r="E49">
        <f>_xll.ICEHistory("C 26N-ICE","Last","D",A49,,,-1)</f>
        <v>4913</v>
      </c>
      <c r="F49">
        <v>295</v>
      </c>
    </row>
    <row r="50" spans="1:6" x14ac:dyDescent="0.25">
      <c r="A50" s="1">
        <v>45905</v>
      </c>
      <c r="B50">
        <f>_xll.ICEHistory("C 26NP300000-ICE","Last","D",A50,,,-1)</f>
        <v>38</v>
      </c>
      <c r="C50">
        <f>_xll.ICEHistory("C 26NP300000-ICE","Implied Volatility","D",A50,,,-1)</f>
        <v>37.44</v>
      </c>
      <c r="D50">
        <f>_xll.ICEHistory("C 26NP300000-ICE","Open Interest","D",A50,,,-1)</f>
        <v>250</v>
      </c>
      <c r="E50">
        <f>_xll.ICEHistory("C 26N-ICE","Last","D",A50,,,-1)</f>
        <v>4975</v>
      </c>
      <c r="F50">
        <v>298</v>
      </c>
    </row>
    <row r="51" spans="1:6" x14ac:dyDescent="0.25">
      <c r="A51" s="1">
        <v>45904</v>
      </c>
      <c r="B51">
        <f>_xll.ICEHistory("C 26NP300000-ICE","Last","D",A51,,,-1)</f>
        <v>38</v>
      </c>
      <c r="C51">
        <f>_xll.ICEHistory("C 26NP300000-ICE","Implied Volatility","D",A51,,,-1)</f>
        <v>37.42</v>
      </c>
      <c r="D51">
        <f>_xll.ICEHistory("C 26NP300000-ICE","Open Interest","D",A51,,,-1)</f>
        <v>250</v>
      </c>
      <c r="E51">
        <f>_xll.ICEHistory("C 26N-ICE","Last","D",A51,,,-1)</f>
        <v>4981</v>
      </c>
      <c r="F51">
        <v>299</v>
      </c>
    </row>
    <row r="52" spans="1:6" x14ac:dyDescent="0.25">
      <c r="A52" s="1">
        <v>45903</v>
      </c>
      <c r="B52">
        <f>_xll.ICEHistory("C 26NP300000-ICE","Last","D",A52,,,-1)</f>
        <v>33</v>
      </c>
      <c r="C52">
        <f>_xll.ICEHistory("C 26NP300000-ICE","Implied Volatility","D",A52,,,-1)</f>
        <v>37.270000000000003</v>
      </c>
      <c r="D52">
        <f>_xll.ICEHistory("C 26NP300000-ICE","Open Interest","D",A52,,,-1)</f>
        <v>250</v>
      </c>
      <c r="E52">
        <f>_xll.ICEHistory("C 26N-ICE","Last","D",A52,,,-1)</f>
        <v>5095</v>
      </c>
      <c r="F52">
        <v>300</v>
      </c>
    </row>
    <row r="53" spans="1:6" x14ac:dyDescent="0.25">
      <c r="A53" s="1">
        <v>45902</v>
      </c>
      <c r="B53">
        <f>_xll.ICEHistory("C 26NP300000-ICE","Last","D",A53,,,-1)</f>
        <v>33</v>
      </c>
      <c r="C53">
        <f>_xll.ICEHistory("C 26NP300000-ICE","Implied Volatility","D",A53,,,-1)</f>
        <v>37.26</v>
      </c>
      <c r="D53">
        <f>_xll.ICEHistory("C 26NP300000-ICE","Open Interest","D",A53,,,-1)</f>
        <v>250</v>
      </c>
      <c r="E53">
        <f>_xll.ICEHistory("C 26N-ICE","Last","D",A53,,,-1)</f>
        <v>5105</v>
      </c>
      <c r="F53">
        <v>301</v>
      </c>
    </row>
    <row r="54" spans="1:6" x14ac:dyDescent="0.25">
      <c r="A54" s="1">
        <v>45901</v>
      </c>
      <c r="B54">
        <f>_xll.ICEHistory("C 26NP300000-ICE","Last","D",A54,,,-1)</f>
        <v>33</v>
      </c>
      <c r="C54">
        <f>_xll.ICEHistory("C 26NP300000-ICE","Implied Volatility","D",A54,,,-1)</f>
        <v>37.21</v>
      </c>
      <c r="D54">
        <f>_xll.ICEHistory("C 26NP300000-ICE","Open Interest","D",A54,,,-1)</f>
        <v>250</v>
      </c>
      <c r="E54">
        <f>_xll.ICEHistory("C 26N-ICE","Last","D",A54,,,-1)</f>
        <v>5094</v>
      </c>
      <c r="F54">
        <v>302</v>
      </c>
    </row>
    <row r="55" spans="1:6" x14ac:dyDescent="0.25">
      <c r="A55" s="1">
        <v>45898</v>
      </c>
      <c r="B55">
        <f>_xll.ICEHistory("C 26NP300000-ICE","Last","D",A55,,,-1)</f>
        <v>32</v>
      </c>
      <c r="C55">
        <f>_xll.ICEHistory("C 26NP300000-ICE","Implied Volatility","D",A55,,,-1)</f>
        <v>37.18</v>
      </c>
      <c r="D55">
        <f>_xll.ICEHistory("C 26NP300000-ICE","Open Interest","D",A55,,,-1)</f>
        <v>250</v>
      </c>
      <c r="E55">
        <f>_xll.ICEHistory("C 26N-ICE","Last","D",A55,,,-1)</f>
        <v>5127</v>
      </c>
      <c r="F55">
        <v>305</v>
      </c>
    </row>
    <row r="56" spans="1:6" x14ac:dyDescent="0.25">
      <c r="A56" s="1">
        <v>45897</v>
      </c>
      <c r="B56">
        <f>_xll.ICEHistory("C 26NP300000-ICE","Last","D",A56,,,-1)</f>
        <v>32</v>
      </c>
      <c r="C56">
        <f>_xll.ICEHistory("C 26NP300000-ICE","Implied Volatility","D",A56,,,-1)</f>
        <v>37.18</v>
      </c>
      <c r="D56">
        <f>_xll.ICEHistory("C 26NP300000-ICE","Open Interest","D",A56,,,-1)</f>
        <v>250</v>
      </c>
      <c r="E56">
        <f>_xll.ICEHistory("C 26N-ICE","Last","D",A56,,,-1)</f>
        <v>5149</v>
      </c>
      <c r="F56">
        <v>306</v>
      </c>
    </row>
    <row r="57" spans="1:6" x14ac:dyDescent="0.25">
      <c r="A57" s="1">
        <v>45896</v>
      </c>
      <c r="B57">
        <f>_xll.ICEHistory("C 26NP300000-ICE","Last","D",A57,,,-1)</f>
        <v>30</v>
      </c>
      <c r="C57">
        <f>_xll.ICEHistory("C 26NP300000-ICE","Implied Volatility","D",A57,,,-1)</f>
        <v>36.97</v>
      </c>
      <c r="D57">
        <f>_xll.ICEHistory("C 26NP300000-ICE","Open Interest","D",A57,,,-1)</f>
        <v>250</v>
      </c>
      <c r="E57">
        <f>_xll.ICEHistory("C 26N-ICE","Last","D",A57,,,-1)</f>
        <v>5173</v>
      </c>
      <c r="F57">
        <v>307</v>
      </c>
    </row>
    <row r="58" spans="1:6" x14ac:dyDescent="0.25">
      <c r="A58" s="1">
        <v>45891</v>
      </c>
      <c r="B58">
        <f>_xll.ICEHistory("C 26NP300000-ICE","Last","D",A58,,,-1)</f>
        <v>30</v>
      </c>
      <c r="C58">
        <f>_xll.ICEHistory("C 26NP300000-ICE","Implied Volatility","D",A58,,,-1)</f>
        <v>36.299999999999997</v>
      </c>
      <c r="D58">
        <f>_xll.ICEHistory("C 26NP300000-ICE","Open Interest","D",A58,,,-1)</f>
        <v>250</v>
      </c>
      <c r="E58">
        <f>_xll.ICEHistory("C 26N-ICE","Last","D",A58,,,-1)</f>
        <v>5131</v>
      </c>
      <c r="F58">
        <v>312</v>
      </c>
    </row>
    <row r="59" spans="1:6" x14ac:dyDescent="0.25">
      <c r="A59" s="1">
        <v>45890</v>
      </c>
      <c r="B59">
        <f>_xll.ICEHistory("C 26NP300000-ICE","Last","D",A59,,,-1)</f>
        <v>29</v>
      </c>
      <c r="C59">
        <f>_xll.ICEHistory("C 26NP300000-ICE","Implied Volatility","D",A59,,,-1)</f>
        <v>36.200000000000003</v>
      </c>
      <c r="D59">
        <f>_xll.ICEHistory("C 26NP300000-ICE","Open Interest","D",A59,,,-1)</f>
        <v>250</v>
      </c>
      <c r="E59">
        <f>_xll.ICEHistory("C 26N-ICE","Last","D",A59,,,-1)</f>
        <v>5167</v>
      </c>
      <c r="F59">
        <v>313</v>
      </c>
    </row>
    <row r="60" spans="1:6" x14ac:dyDescent="0.25">
      <c r="A60" s="1">
        <v>45889</v>
      </c>
      <c r="B60">
        <f>_xll.ICEHistory("C 26NP300000-ICE","Last","D",A60,,,-1)</f>
        <v>32</v>
      </c>
      <c r="C60">
        <f>_xll.ICEHistory("C 26NP300000-ICE","Implied Volatility","D",A60,,,-1)</f>
        <v>37.46</v>
      </c>
      <c r="D60">
        <f>_xll.ICEHistory("C 26NP300000-ICE","Open Interest","D",A60,,,-1)</f>
        <v>250</v>
      </c>
      <c r="E60">
        <f>_xll.ICEHistory("C 26N-ICE","Last","D",A60,,,-1)</f>
        <v>5232</v>
      </c>
      <c r="F60">
        <v>314</v>
      </c>
    </row>
    <row r="61" spans="1:6" x14ac:dyDescent="0.25">
      <c r="A61" s="1">
        <v>45888</v>
      </c>
      <c r="B61">
        <f>_xll.ICEHistory("C 26NP300000-ICE","Last","D",A61,,,-1)</f>
        <v>24</v>
      </c>
      <c r="C61">
        <f>_xll.ICEHistory("C 26NP300000-ICE","Implied Volatility","D",A61,,,-1)</f>
        <v>36.36</v>
      </c>
      <c r="D61">
        <f>_xll.ICEHistory("C 26NP300000-ICE","Open Interest","D",A61,,,-1)</f>
        <v>250</v>
      </c>
      <c r="E61">
        <f>_xll.ICEHistory("C 26N-ICE","Last","D",A61,,,-1)</f>
        <v>5340</v>
      </c>
      <c r="F61">
        <v>315</v>
      </c>
    </row>
    <row r="62" spans="1:6" x14ac:dyDescent="0.25">
      <c r="A62" s="1">
        <v>45887</v>
      </c>
      <c r="B62">
        <f>_xll.ICEHistory("C 26NP300000-ICE","Last","D",A62,,,-1)</f>
        <v>25</v>
      </c>
      <c r="C62">
        <f>_xll.ICEHistory("C 26NP300000-ICE","Implied Volatility","D",A62,,,-1)</f>
        <v>36.53</v>
      </c>
      <c r="D62">
        <f>_xll.ICEHistory("C 26NP300000-ICE","Open Interest","D",A62,,,-1)</f>
        <v>250</v>
      </c>
      <c r="E62">
        <f>_xll.ICEHistory("C 26N-ICE","Last","D",A62,,,-1)</f>
        <v>5322</v>
      </c>
      <c r="F62">
        <v>316</v>
      </c>
    </row>
    <row r="63" spans="1:6" x14ac:dyDescent="0.25">
      <c r="A63" s="1">
        <v>45884</v>
      </c>
      <c r="B63">
        <f>_xll.ICEHistory("C 26NP300000-ICE","Last","D",A63,,,-1)</f>
        <v>25</v>
      </c>
      <c r="C63">
        <f>_xll.ICEHistory("C 26NP300000-ICE","Implied Volatility","D",A63,,,-1)</f>
        <v>36.46</v>
      </c>
      <c r="D63">
        <f>_xll.ICEHistory("C 26NP300000-ICE","Open Interest","D",A63,,,-1)</f>
        <v>250</v>
      </c>
      <c r="E63">
        <f>_xll.ICEHistory("C 26N-ICE","Last","D",A63,,,-1)</f>
        <v>5350</v>
      </c>
      <c r="F63">
        <v>319</v>
      </c>
    </row>
    <row r="64" spans="1:6" x14ac:dyDescent="0.25">
      <c r="A64" s="1">
        <v>45883</v>
      </c>
      <c r="B64">
        <f>_xll.ICEHistory("C 26NP300000-ICE","Last","D",A64,,,-1)</f>
        <v>26</v>
      </c>
      <c r="C64">
        <f>_xll.ICEHistory("C 26NP300000-ICE","Implied Volatility","D",A64,,,-1)</f>
        <v>37</v>
      </c>
      <c r="D64">
        <f>_xll.ICEHistory("C 26NP300000-ICE","Open Interest","D",A64,,,-1)</f>
        <v>250</v>
      </c>
      <c r="E64">
        <f>_xll.ICEHistory("C 26N-ICE","Last","D",A64,,,-1)</f>
        <v>5376</v>
      </c>
      <c r="F64">
        <v>320</v>
      </c>
    </row>
    <row r="65" spans="1:6" x14ac:dyDescent="0.25">
      <c r="A65" s="1">
        <v>45882</v>
      </c>
      <c r="B65">
        <f>_xll.ICEHistory("C 26NP300000-ICE","Last","D",A65,,,-1)</f>
        <v>30</v>
      </c>
      <c r="C65">
        <f>_xll.ICEHistory("C 26NP300000-ICE","Implied Volatility","D",A65,,,-1)</f>
        <v>39.44</v>
      </c>
      <c r="D65">
        <f>_xll.ICEHistory("C 26NP300000-ICE","Open Interest","D",A65,,,-1)</f>
        <v>250</v>
      </c>
      <c r="E65">
        <f>_xll.ICEHistory("C 26N-ICE","Last","D",A65,,,-1)</f>
        <v>5544</v>
      </c>
      <c r="F65">
        <v>321</v>
      </c>
    </row>
    <row r="66" spans="1:6" x14ac:dyDescent="0.25">
      <c r="A66" s="1">
        <v>45881</v>
      </c>
      <c r="B66">
        <f>_xll.ICEHistory("C 26NP300000-ICE","Last","D",A66,,,-1)</f>
        <v>31</v>
      </c>
      <c r="C66">
        <f>_xll.ICEHistory("C 26NP300000-ICE","Implied Volatility","D",A66,,,-1)</f>
        <v>39.909999999999997</v>
      </c>
      <c r="D66">
        <f>_xll.ICEHistory("C 26NP300000-ICE","Open Interest","D",A66,,,-1)</f>
        <v>250</v>
      </c>
      <c r="E66">
        <f>_xll.ICEHistory("C 26N-ICE","Last","D",A66,,,-1)</f>
        <v>5583</v>
      </c>
      <c r="F66">
        <v>322</v>
      </c>
    </row>
    <row r="67" spans="1:6" x14ac:dyDescent="0.25">
      <c r="A67" s="1">
        <v>45880</v>
      </c>
      <c r="B67">
        <f>_xll.ICEHistory("C 26NP300000-ICE","Last","D",A67,,,-1)</f>
        <v>29</v>
      </c>
      <c r="C67">
        <f>_xll.ICEHistory("C 26NP300000-ICE","Implied Volatility","D",A67,,,-1)</f>
        <v>38.49</v>
      </c>
      <c r="D67">
        <f>_xll.ICEHistory("C 26NP300000-ICE","Open Interest","D",A67,,,-1)</f>
        <v>250</v>
      </c>
      <c r="E67">
        <f>_xll.ICEHistory("C 26N-ICE","Last","D",A67,,,-1)</f>
        <v>5491</v>
      </c>
      <c r="F67">
        <v>323</v>
      </c>
    </row>
    <row r="68" spans="1:6" x14ac:dyDescent="0.25">
      <c r="A68" s="1">
        <v>45877</v>
      </c>
      <c r="B68">
        <f>_xll.ICEHistory("C 26NP300000-ICE","Last","D",A68,,,-1)</f>
        <v>36</v>
      </c>
      <c r="C68">
        <f>_xll.ICEHistory("C 26NP300000-ICE","Implied Volatility","D",A68,,,-1)</f>
        <v>37.18</v>
      </c>
      <c r="D68">
        <f>_xll.ICEHistory("C 26NP300000-ICE","Open Interest","D",A68,,,-1)</f>
        <v>250</v>
      </c>
      <c r="E68">
        <f>_xll.ICEHistory("C 26N-ICE","Last","D",A68,,,-1)</f>
        <v>5177</v>
      </c>
      <c r="F68">
        <v>326</v>
      </c>
    </row>
    <row r="69" spans="1:6" x14ac:dyDescent="0.25">
      <c r="A69" s="1">
        <v>45876</v>
      </c>
      <c r="B69">
        <f>_xll.ICEHistory("C 26NP300000-ICE","Last","D",A69,,,-1)</f>
        <v>39</v>
      </c>
      <c r="C69">
        <f>_xll.ICEHistory("C 26NP300000-ICE","Implied Volatility","D",A69,,,-1)</f>
        <v>37.57</v>
      </c>
      <c r="D69">
        <f>_xll.ICEHistory("C 26NP300000-ICE","Open Interest","D",A69,,,-1)</f>
        <v>250</v>
      </c>
      <c r="E69">
        <f>_xll.ICEHistory("C 26N-ICE","Last","D",A69,,,-1)</f>
        <v>5153</v>
      </c>
      <c r="F69">
        <v>327</v>
      </c>
    </row>
    <row r="70" spans="1:6" x14ac:dyDescent="0.25">
      <c r="A70" s="1">
        <v>45875</v>
      </c>
      <c r="B70">
        <f>_xll.ICEHistory("C 26NP300000-ICE","Last","D",A70,,,-1)</f>
        <v>32</v>
      </c>
      <c r="C70">
        <f>_xll.ICEHistory("C 26NP300000-ICE","Implied Volatility","D",A70,,,-1)</f>
        <v>35.99</v>
      </c>
      <c r="D70">
        <f>_xll.ICEHistory("C 26NP300000-ICE","Open Interest","D",A70,,,-1)</f>
        <v>0</v>
      </c>
      <c r="E70">
        <f>_xll.ICEHistory("C 26N-ICE","Last","D",A70,,,-1)</f>
        <v>5142</v>
      </c>
      <c r="F70">
        <v>328</v>
      </c>
    </row>
    <row r="71" spans="1:6" x14ac:dyDescent="0.25">
      <c r="A71" s="1">
        <v>45874</v>
      </c>
      <c r="B71">
        <f>_xll.ICEHistory("C 26NP300000-ICE","Last","D",A71,,,-1)</f>
        <v>31</v>
      </c>
      <c r="C71">
        <f>_xll.ICEHistory("C 26NP300000-ICE","Implied Volatility","D",A71,,,-1)</f>
        <v>35.880000000000003</v>
      </c>
      <c r="D71">
        <f>_xll.ICEHistory("C 26NP300000-ICE","Open Interest","D",A71,,,-1)</f>
        <v>0</v>
      </c>
      <c r="E71">
        <f>_xll.ICEHistory("C 26N-ICE","Last","D",A71,,,-1)</f>
        <v>5159</v>
      </c>
      <c r="F71">
        <v>329</v>
      </c>
    </row>
    <row r="72" spans="1:6" x14ac:dyDescent="0.25">
      <c r="A72" s="1">
        <v>45873</v>
      </c>
      <c r="B72">
        <f>_xll.ICEHistory("C 26NP300000-ICE","Last","D",A72,,,-1)</f>
        <v>37</v>
      </c>
      <c r="C72">
        <f>_xll.ICEHistory("C 26NP300000-ICE","Implied Volatility","D",A72,,,-1)</f>
        <v>36.119999999999997</v>
      </c>
      <c r="D72">
        <f>_xll.ICEHistory("C 26NP300000-ICE","Open Interest","D",A72,,,-1)</f>
        <v>0</v>
      </c>
      <c r="E72">
        <f>_xll.ICEHistory("C 26N-ICE","Last","D",A72,,,-1)</f>
        <v>5052</v>
      </c>
      <c r="F72">
        <v>330</v>
      </c>
    </row>
    <row r="73" spans="1:6" x14ac:dyDescent="0.25">
      <c r="A73" s="1">
        <v>45870</v>
      </c>
      <c r="B73">
        <f>_xll.ICEHistory("C 26NP300000-ICE","Last","D",A73,,,-1)</f>
        <v>36</v>
      </c>
      <c r="C73">
        <f>_xll.ICEHistory("C 26NP300000-ICE","Implied Volatility","D",A73,,,-1)</f>
        <v>36.49</v>
      </c>
      <c r="D73">
        <f>_xll.ICEHistory("C 26NP300000-ICE","Open Interest","D",A73,,,-1)</f>
        <v>0</v>
      </c>
      <c r="E73">
        <f>_xll.ICEHistory("C 26N-ICE","Last","D",A73,,,-1)</f>
        <v>5146</v>
      </c>
      <c r="F73">
        <v>333</v>
      </c>
    </row>
    <row r="74" spans="1:6" x14ac:dyDescent="0.25">
      <c r="A74" s="1">
        <v>45869</v>
      </c>
      <c r="B74">
        <f>_xll.ICEHistory("C 26NP300000-ICE","Last","D",A74,,,-1)</f>
        <v>32</v>
      </c>
      <c r="C74">
        <f>_xll.ICEHistory("C 26NP300000-ICE","Implied Volatility","D",A74,,,-1)</f>
        <v>36.53</v>
      </c>
      <c r="D74">
        <f>_xll.ICEHistory("C 26NP300000-ICE","Open Interest","D",A74,,,-1)</f>
        <v>0</v>
      </c>
      <c r="E74">
        <f>_xll.ICEHistory("C 26N-ICE","Last","D",A74,,,-1)</f>
        <v>5246</v>
      </c>
      <c r="F74">
        <v>334</v>
      </c>
    </row>
    <row r="75" spans="1:6" x14ac:dyDescent="0.25">
      <c r="A75" s="1">
        <v>45868</v>
      </c>
      <c r="B75">
        <f>_xll.ICEHistory("C 26NP300000-ICE","Last","D",A75,,,-1)</f>
        <v>30</v>
      </c>
      <c r="C75">
        <f>_xll.ICEHistory("C 26NP300000-ICE","Implied Volatility","D",A75,,,-1)</f>
        <v>34.56</v>
      </c>
      <c r="D75">
        <f>_xll.ICEHistory("C 26NP300000-ICE","Open Interest","D",A75,,,-1)</f>
        <v>0</v>
      </c>
      <c r="E75">
        <f>_xll.ICEHistory("C 26N-ICE","Last","D",A75,,,-1)</f>
        <v>5100</v>
      </c>
      <c r="F75">
        <v>335</v>
      </c>
    </row>
    <row r="76" spans="1:6" x14ac:dyDescent="0.25">
      <c r="A76" s="1">
        <v>45867</v>
      </c>
      <c r="B76">
        <f>_xll.ICEHistory("C 26NP300000-ICE","Last","D",A76,,,-1)</f>
        <v>31</v>
      </c>
      <c r="C76">
        <f>_xll.ICEHistory("C 26NP300000-ICE","Implied Volatility","D",A76,,,-1)</f>
        <v>34.51</v>
      </c>
      <c r="D76">
        <f>_xll.ICEHistory("C 26NP300000-ICE","Open Interest","D",A76,,,-1)</f>
        <v>0</v>
      </c>
      <c r="E76">
        <f>_xll.ICEHistory("C 26N-ICE","Last","D",A76,,,-1)</f>
        <v>5070</v>
      </c>
      <c r="F76">
        <v>336</v>
      </c>
    </row>
    <row r="77" spans="1:6" x14ac:dyDescent="0.25">
      <c r="A77" s="1">
        <v>45866</v>
      </c>
      <c r="B77">
        <f>_xll.ICEHistory("C 26NP300000-ICE","Last","D",A77,,,-1)</f>
        <v>28</v>
      </c>
      <c r="C77">
        <f>_xll.ICEHistory("C 26NP300000-ICE","Implied Volatility","D",A77,,,-1)</f>
        <v>34.28</v>
      </c>
      <c r="D77">
        <f>_xll.ICEHistory("C 26NP300000-ICE","Open Interest","D",A77,,,-1)</f>
        <v>0</v>
      </c>
      <c r="E77">
        <f>_xll.ICEHistory("C 26N-ICE","Last","D",A77,,,-1)</f>
        <v>5117</v>
      </c>
      <c r="F77">
        <v>337</v>
      </c>
    </row>
    <row r="78" spans="1:6" x14ac:dyDescent="0.25">
      <c r="A78" s="1">
        <v>45863</v>
      </c>
      <c r="B78">
        <f>_xll.ICEHistory("C 26NP300000-ICE","Last","D",A78,,,-1)</f>
        <v>27</v>
      </c>
      <c r="C78">
        <f>_xll.ICEHistory("C 26NP300000-ICE","Implied Volatility","D",A78,,,-1)</f>
        <v>33.409999999999997</v>
      </c>
      <c r="D78">
        <f>_xll.ICEHistory("C 26NP300000-ICE","Open Interest","D",A78,,,-1)</f>
        <v>0</v>
      </c>
      <c r="E78">
        <f>_xll.ICEHistory("C 26N-ICE","Last","D",A78,,,-1)</f>
        <v>5065</v>
      </c>
      <c r="F78">
        <v>340</v>
      </c>
    </row>
    <row r="79" spans="1:6" x14ac:dyDescent="0.25">
      <c r="A79" s="1">
        <v>45862</v>
      </c>
      <c r="B79">
        <f>_xll.ICEHistory("C 26NP300000-ICE","Last","D",A79,,,-1)</f>
        <v>29</v>
      </c>
      <c r="C79">
        <f>_xll.ICEHistory("C 26NP300000-ICE","Implied Volatility","D",A79,,,-1)</f>
        <v>32.799999999999997</v>
      </c>
      <c r="D79">
        <f>_xll.ICEHistory("C 26NP300000-ICE","Open Interest","D",A79,,,-1)</f>
        <v>0</v>
      </c>
      <c r="E79">
        <f>_xll.ICEHistory("C 26N-ICE","Last","D",A79,,,-1)</f>
        <v>4970</v>
      </c>
      <c r="F79">
        <v>341</v>
      </c>
    </row>
    <row r="80" spans="1:6" x14ac:dyDescent="0.25">
      <c r="A80" s="1">
        <v>45861</v>
      </c>
      <c r="B80">
        <f>_xll.ICEHistory("C 26NP300000-ICE","Last","D",A80,,,-1)</f>
        <v>13</v>
      </c>
      <c r="C80">
        <f>_xll.ICEHistory("C 26NP300000-ICE","Implied Volatility","D",A80,,,-1)</f>
        <v>28.87</v>
      </c>
      <c r="D80">
        <f>_xll.ICEHistory("C 26NP300000-ICE","Open Interest","D",A80,,,-1)</f>
        <v>0</v>
      </c>
      <c r="E80">
        <f>_xll.ICEHistory("C 26N-ICE","Last","D",A80,,,-1)</f>
        <v>5077</v>
      </c>
      <c r="F80">
        <v>342</v>
      </c>
    </row>
    <row r="81" spans="1:6" x14ac:dyDescent="0.25">
      <c r="A81" s="1">
        <v>45860</v>
      </c>
      <c r="B81">
        <f>_xll.ICEHistory("C 26NP300000-ICE","Last","D",A81,,,-1)</f>
        <v>13</v>
      </c>
      <c r="C81">
        <f>_xll.ICEHistory("C 26NP300000-ICE","Implied Volatility","D",A81,,,-1)</f>
        <v>28.85</v>
      </c>
      <c r="D81">
        <f>_xll.ICEHistory("C 26NP300000-ICE","Open Interest","D",A81,,,-1)</f>
        <v>0</v>
      </c>
      <c r="E81">
        <f>_xll.ICEHistory("C 26N-ICE","Last","D",A81,,,-1)</f>
        <v>5047</v>
      </c>
      <c r="F81">
        <v>343</v>
      </c>
    </row>
    <row r="82" spans="1:6" x14ac:dyDescent="0.25">
      <c r="A82" s="1">
        <v>45859</v>
      </c>
      <c r="B82">
        <f>_xll.ICEHistory("C 26NP300000-ICE","Last","D",A82,,,-1)</f>
        <v>15</v>
      </c>
      <c r="C82">
        <f>_xll.ICEHistory("C 26NP300000-ICE","Implied Volatility","D",A82,,,-1)</f>
        <v>28.13</v>
      </c>
      <c r="D82">
        <f>_xll.ICEHistory("C 26NP300000-ICE","Open Interest","D",A82,,,-1)</f>
        <v>0</v>
      </c>
      <c r="E82">
        <f>_xll.ICEHistory("C 26N-ICE","Last","D",A82,,,-1)</f>
        <v>4895</v>
      </c>
      <c r="F82">
        <v>344</v>
      </c>
    </row>
    <row r="83" spans="1:6" x14ac:dyDescent="0.25">
      <c r="A83" s="1">
        <v>45856</v>
      </c>
      <c r="B83">
        <f>_xll.ICEHistory("C 26NP300000-ICE","Last","D",A83,,,-1)</f>
        <v>19</v>
      </c>
      <c r="C83">
        <f>_xll.ICEHistory("C 26NP300000-ICE","Implied Volatility","D",A83,,,-1)</f>
        <v>28.88</v>
      </c>
      <c r="D83">
        <f>_xll.ICEHistory("C 26NP300000-ICE","Open Interest","D",A83,,,-1)</f>
        <v>0</v>
      </c>
      <c r="E83">
        <f>_xll.ICEHistory("C 26N-ICE","Last","D",A83,,,-1)</f>
        <v>4846</v>
      </c>
      <c r="F83">
        <v>347</v>
      </c>
    </row>
    <row r="84" spans="1:6" x14ac:dyDescent="0.25">
      <c r="A84" s="1">
        <v>45855</v>
      </c>
      <c r="B84">
        <f>_xll.ICEHistory("C 26NP300000-ICE","Last","D",A84,,,-1)</f>
        <v>31</v>
      </c>
      <c r="C84">
        <f>_xll.ICEHistory("C 26NP300000-ICE","Implied Volatility","D",A84,,,-1)</f>
        <v>30.53</v>
      </c>
      <c r="D84">
        <f>_xll.ICEHistory("C 26NP300000-ICE","Open Interest","D",A84,,,-1)</f>
        <v>0</v>
      </c>
      <c r="E84">
        <f>_xll.ICEHistory("C 26N-ICE","Last","D",A84,,,-1)</f>
        <v>4733</v>
      </c>
      <c r="F84">
        <v>348</v>
      </c>
    </row>
    <row r="85" spans="1:6" x14ac:dyDescent="0.25">
      <c r="A85" s="1">
        <v>45854</v>
      </c>
      <c r="B85">
        <f>_xll.ICEHistory("C 26NP300000-ICE","Last","D",A85,,,-1)</f>
        <v>22</v>
      </c>
      <c r="C85">
        <f>_xll.ICEHistory("C 26NP300000-ICE","Implied Volatility","D",A85,,,-1)</f>
        <v>30.2</v>
      </c>
      <c r="D85">
        <f>_xll.ICEHistory("C 26NP300000-ICE","Open Interest","D",A85,,,-1)</f>
        <v>0</v>
      </c>
      <c r="E85">
        <f>_xll.ICEHistory("C 26N-ICE","Last","D",A85,,,-1)</f>
        <v>4913</v>
      </c>
      <c r="F85">
        <v>349</v>
      </c>
    </row>
    <row r="86" spans="1:6" x14ac:dyDescent="0.25">
      <c r="A86" s="1">
        <v>45853</v>
      </c>
      <c r="B86">
        <f>_xll.ICEHistory("C 26NP300000-ICE","Last","D",A86,,,-1)</f>
        <v>21</v>
      </c>
      <c r="C86">
        <f>_xll.ICEHistory("C 26NP300000-ICE","Implied Volatility","D",A86,,,-1)</f>
        <v>30.15</v>
      </c>
      <c r="D86">
        <f>_xll.ICEHistory("C 26NP300000-ICE","Open Interest","D",A86,,,-1)</f>
        <v>0</v>
      </c>
      <c r="E86">
        <f>_xll.ICEHistory("C 26N-ICE","Last","D",A86,,,-1)</f>
        <v>4950</v>
      </c>
      <c r="F86">
        <v>350</v>
      </c>
    </row>
    <row r="87" spans="1:6" x14ac:dyDescent="0.25">
      <c r="A87" s="1">
        <v>45852</v>
      </c>
      <c r="B87">
        <f>_xll.ICEHistory("C 26NP300000-ICE","Last","D",A87,,,-1)</f>
        <v>19</v>
      </c>
      <c r="C87">
        <f>_xll.ICEHistory("C 26NP300000-ICE","Implied Volatility","D",A87,,,-1)</f>
        <v>30.28</v>
      </c>
      <c r="D87">
        <f>_xll.ICEHistory("C 26NP300000-ICE","Open Interest","D",A87,,,-1)</f>
        <v>0</v>
      </c>
      <c r="E87">
        <f>_xll.ICEHistory("C 26N-ICE","Last","D",A87,,,-1)</f>
        <v>5044</v>
      </c>
      <c r="F87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2700-C02F-4F18-9D85-8D18463CF8A4}">
  <dimension ref="A1:ET158"/>
  <sheetViews>
    <sheetView tabSelected="1" workbookViewId="0">
      <selection activeCell="A2" sqref="A2"/>
    </sheetView>
  </sheetViews>
  <sheetFormatPr defaultRowHeight="15" x14ac:dyDescent="0.25"/>
  <cols>
    <col min="1" max="2" width="10.42578125" bestFit="1" customWidth="1"/>
  </cols>
  <sheetData>
    <row r="1" spans="1:150" x14ac:dyDescent="0.25">
      <c r="A1" t="s">
        <v>0</v>
      </c>
      <c r="B1" t="s">
        <v>6</v>
      </c>
      <c r="C1" t="s">
        <v>7</v>
      </c>
      <c r="D1">
        <v>2000</v>
      </c>
      <c r="E1">
        <v>2500</v>
      </c>
      <c r="F1">
        <v>2700</v>
      </c>
      <c r="G1">
        <v>2800</v>
      </c>
      <c r="H1">
        <v>3000</v>
      </c>
      <c r="I1">
        <v>3175</v>
      </c>
      <c r="J1">
        <v>3200</v>
      </c>
      <c r="K1">
        <v>3225</v>
      </c>
      <c r="L1">
        <v>3250</v>
      </c>
      <c r="M1">
        <v>3275</v>
      </c>
      <c r="N1">
        <v>3300</v>
      </c>
      <c r="O1">
        <v>3325</v>
      </c>
      <c r="P1">
        <v>3350</v>
      </c>
      <c r="Q1">
        <v>3375</v>
      </c>
      <c r="R1">
        <v>3400</v>
      </c>
      <c r="S1">
        <v>3425</v>
      </c>
      <c r="T1">
        <v>3450</v>
      </c>
      <c r="U1">
        <v>3475</v>
      </c>
      <c r="V1">
        <v>3500</v>
      </c>
      <c r="W1">
        <v>3525</v>
      </c>
      <c r="X1">
        <v>3550</v>
      </c>
      <c r="Y1">
        <v>3575</v>
      </c>
      <c r="Z1">
        <v>3600</v>
      </c>
      <c r="AA1">
        <v>3625</v>
      </c>
      <c r="AB1">
        <v>3650</v>
      </c>
      <c r="AC1">
        <v>3675</v>
      </c>
      <c r="AD1">
        <v>3700</v>
      </c>
      <c r="AE1">
        <v>3725</v>
      </c>
      <c r="AF1">
        <v>3750</v>
      </c>
      <c r="AG1">
        <v>3775</v>
      </c>
      <c r="AH1">
        <v>3800</v>
      </c>
      <c r="AI1">
        <v>3825</v>
      </c>
      <c r="AJ1">
        <v>3850</v>
      </c>
      <c r="AK1">
        <v>3875</v>
      </c>
      <c r="AL1">
        <v>3900</v>
      </c>
      <c r="AM1">
        <v>3925</v>
      </c>
      <c r="AN1">
        <v>3950</v>
      </c>
      <c r="AO1">
        <v>3975</v>
      </c>
      <c r="AP1">
        <v>4000</v>
      </c>
      <c r="AQ1">
        <v>4025</v>
      </c>
      <c r="AR1">
        <v>4050</v>
      </c>
      <c r="AS1">
        <v>4075</v>
      </c>
      <c r="AT1">
        <v>4100</v>
      </c>
      <c r="AU1">
        <v>4125</v>
      </c>
      <c r="AV1">
        <v>4150</v>
      </c>
      <c r="AW1">
        <v>4175</v>
      </c>
      <c r="AX1">
        <v>4200</v>
      </c>
      <c r="AY1">
        <v>4225</v>
      </c>
      <c r="AZ1">
        <v>4250</v>
      </c>
      <c r="BA1">
        <v>4275</v>
      </c>
      <c r="BB1">
        <v>4300</v>
      </c>
      <c r="BC1">
        <v>4325</v>
      </c>
      <c r="BD1">
        <v>4350</v>
      </c>
      <c r="BE1">
        <v>4375</v>
      </c>
      <c r="BF1">
        <v>4400</v>
      </c>
      <c r="BG1">
        <v>4425</v>
      </c>
      <c r="BH1">
        <v>4450</v>
      </c>
      <c r="BI1">
        <v>4475</v>
      </c>
      <c r="BJ1">
        <v>4500</v>
      </c>
      <c r="BK1">
        <v>4525</v>
      </c>
      <c r="BL1">
        <v>4550</v>
      </c>
      <c r="BM1">
        <v>4575</v>
      </c>
      <c r="BN1">
        <v>4600</v>
      </c>
      <c r="BO1">
        <v>4625</v>
      </c>
      <c r="BP1">
        <v>4650</v>
      </c>
      <c r="BQ1">
        <v>4675</v>
      </c>
      <c r="BR1">
        <v>4700</v>
      </c>
      <c r="BS1">
        <v>4725</v>
      </c>
      <c r="BT1">
        <v>4750</v>
      </c>
      <c r="BU1">
        <v>4775</v>
      </c>
      <c r="BV1">
        <v>4800</v>
      </c>
      <c r="BW1">
        <v>4825</v>
      </c>
      <c r="BX1">
        <v>4850</v>
      </c>
      <c r="BY1">
        <v>4875</v>
      </c>
      <c r="BZ1">
        <v>4900</v>
      </c>
      <c r="CA1">
        <v>4925</v>
      </c>
      <c r="CB1">
        <v>4950</v>
      </c>
      <c r="CC1">
        <v>4975</v>
      </c>
      <c r="CD1">
        <v>5000</v>
      </c>
      <c r="CE1">
        <v>5025</v>
      </c>
      <c r="CF1">
        <v>5050</v>
      </c>
      <c r="CG1">
        <v>5075</v>
      </c>
      <c r="CH1">
        <v>5100</v>
      </c>
      <c r="CI1">
        <v>5125</v>
      </c>
      <c r="CJ1">
        <v>5150</v>
      </c>
      <c r="CK1">
        <v>5175</v>
      </c>
      <c r="CL1">
        <v>5200</v>
      </c>
      <c r="CM1">
        <v>5225</v>
      </c>
      <c r="CN1">
        <v>5250</v>
      </c>
      <c r="CO1">
        <v>5275</v>
      </c>
      <c r="CP1">
        <v>5300</v>
      </c>
      <c r="CQ1">
        <v>5325</v>
      </c>
      <c r="CR1">
        <v>5350</v>
      </c>
      <c r="CS1">
        <v>5375</v>
      </c>
      <c r="CT1">
        <v>5400</v>
      </c>
      <c r="CU1">
        <v>5425</v>
      </c>
      <c r="CV1">
        <v>5450</v>
      </c>
      <c r="CW1">
        <v>5475</v>
      </c>
      <c r="CX1">
        <v>5500</v>
      </c>
      <c r="CY1">
        <v>5525</v>
      </c>
      <c r="CZ1">
        <v>5550</v>
      </c>
      <c r="DA1">
        <v>5575</v>
      </c>
      <c r="DB1">
        <v>5600</v>
      </c>
      <c r="DC1">
        <v>5625</v>
      </c>
      <c r="DD1">
        <v>5650</v>
      </c>
      <c r="DE1">
        <v>5675</v>
      </c>
      <c r="DF1">
        <v>5700</v>
      </c>
      <c r="DG1">
        <v>5725</v>
      </c>
      <c r="DH1">
        <v>5750</v>
      </c>
      <c r="DI1">
        <v>5775</v>
      </c>
      <c r="DJ1">
        <v>5800</v>
      </c>
      <c r="DK1">
        <v>5825</v>
      </c>
      <c r="DL1">
        <v>5850</v>
      </c>
      <c r="DM1">
        <v>5875</v>
      </c>
      <c r="DN1">
        <v>5900</v>
      </c>
      <c r="DO1">
        <v>5925</v>
      </c>
      <c r="DP1">
        <v>5950</v>
      </c>
      <c r="DQ1">
        <v>5975</v>
      </c>
      <c r="DR1">
        <v>6000</v>
      </c>
      <c r="DS1">
        <v>6025</v>
      </c>
      <c r="DT1">
        <v>6050</v>
      </c>
      <c r="DU1">
        <v>6075</v>
      </c>
      <c r="DV1">
        <v>6100</v>
      </c>
      <c r="DW1">
        <v>6125</v>
      </c>
      <c r="DX1">
        <v>6150</v>
      </c>
      <c r="DY1">
        <v>6175</v>
      </c>
      <c r="DZ1">
        <v>6200</v>
      </c>
      <c r="EA1">
        <v>6225</v>
      </c>
      <c r="EB1">
        <v>6250</v>
      </c>
      <c r="EC1">
        <v>6275</v>
      </c>
      <c r="ED1">
        <v>6300</v>
      </c>
      <c r="EE1">
        <v>6325</v>
      </c>
      <c r="EF1">
        <v>6350</v>
      </c>
      <c r="EG1">
        <v>6375</v>
      </c>
      <c r="EH1">
        <v>6400</v>
      </c>
      <c r="EI1">
        <v>6425</v>
      </c>
      <c r="EJ1">
        <v>6450</v>
      </c>
      <c r="EK1">
        <v>6475</v>
      </c>
      <c r="EL1">
        <v>6500</v>
      </c>
      <c r="EM1">
        <v>6525</v>
      </c>
      <c r="EN1">
        <v>6550</v>
      </c>
      <c r="EO1">
        <v>6575</v>
      </c>
      <c r="EP1">
        <v>6600</v>
      </c>
      <c r="EQ1">
        <v>7000</v>
      </c>
      <c r="ER1">
        <v>8000</v>
      </c>
      <c r="ES1">
        <v>9000</v>
      </c>
      <c r="ET1">
        <v>10000</v>
      </c>
    </row>
    <row r="2" spans="1:150" x14ac:dyDescent="0.25">
      <c r="A2" s="4">
        <v>45973</v>
      </c>
      <c r="B2" s="3">
        <v>4181</v>
      </c>
      <c r="C2">
        <v>289</v>
      </c>
      <c r="D2">
        <v>30.19</v>
      </c>
      <c r="E2">
        <v>29.01</v>
      </c>
      <c r="F2">
        <v>28.74</v>
      </c>
      <c r="G2">
        <v>28.65</v>
      </c>
      <c r="H2">
        <v>28.55</v>
      </c>
      <c r="I2">
        <v>28.56</v>
      </c>
      <c r="J2">
        <v>28.57</v>
      </c>
      <c r="K2">
        <v>28.58</v>
      </c>
      <c r="L2">
        <v>28.6</v>
      </c>
      <c r="M2">
        <v>28.61</v>
      </c>
      <c r="N2">
        <v>28.63</v>
      </c>
      <c r="O2">
        <v>28.64</v>
      </c>
      <c r="P2">
        <v>28.66</v>
      </c>
      <c r="Q2">
        <v>28.68</v>
      </c>
      <c r="R2">
        <v>28.71</v>
      </c>
      <c r="S2">
        <v>28.73</v>
      </c>
      <c r="T2">
        <v>28.76</v>
      </c>
      <c r="U2">
        <v>28.79</v>
      </c>
      <c r="V2">
        <v>28.82</v>
      </c>
      <c r="W2">
        <v>28.85</v>
      </c>
      <c r="X2">
        <v>28.88</v>
      </c>
      <c r="Y2">
        <v>28.92</v>
      </c>
      <c r="Z2">
        <v>28.95</v>
      </c>
      <c r="AA2">
        <v>28.99</v>
      </c>
      <c r="AB2">
        <v>29.03</v>
      </c>
      <c r="AC2">
        <v>29.07</v>
      </c>
      <c r="AD2">
        <v>29.12</v>
      </c>
      <c r="AE2">
        <v>29.16</v>
      </c>
      <c r="AF2">
        <v>29.21</v>
      </c>
      <c r="AG2">
        <v>29.25</v>
      </c>
      <c r="AH2">
        <v>29.3</v>
      </c>
      <c r="AI2">
        <v>29.35</v>
      </c>
      <c r="AJ2">
        <v>29.4</v>
      </c>
      <c r="AK2">
        <v>29.46</v>
      </c>
      <c r="AL2">
        <v>29.51</v>
      </c>
      <c r="AM2">
        <v>29.56</v>
      </c>
      <c r="AN2">
        <v>29.62</v>
      </c>
      <c r="AO2">
        <v>29.68</v>
      </c>
      <c r="AP2">
        <v>29.74</v>
      </c>
      <c r="AQ2">
        <v>29.8</v>
      </c>
      <c r="AR2">
        <v>29.86</v>
      </c>
      <c r="AS2">
        <v>29.92</v>
      </c>
      <c r="AT2">
        <v>29.99</v>
      </c>
      <c r="AU2">
        <v>30.05</v>
      </c>
      <c r="AV2">
        <v>30.12</v>
      </c>
      <c r="AW2">
        <v>30.18</v>
      </c>
      <c r="AX2">
        <v>30.25</v>
      </c>
      <c r="AY2">
        <v>30.32</v>
      </c>
      <c r="AZ2">
        <v>30.39</v>
      </c>
      <c r="BA2">
        <v>30.46</v>
      </c>
      <c r="BB2">
        <v>30.53</v>
      </c>
      <c r="BC2">
        <v>30.6</v>
      </c>
      <c r="BD2">
        <v>30.68</v>
      </c>
      <c r="BE2">
        <v>30.75</v>
      </c>
      <c r="BF2">
        <v>30.83</v>
      </c>
      <c r="BG2">
        <v>30.9</v>
      </c>
      <c r="BH2">
        <v>30.98</v>
      </c>
      <c r="BI2">
        <v>31.05</v>
      </c>
      <c r="BJ2">
        <v>31.13</v>
      </c>
      <c r="BK2">
        <v>31.21</v>
      </c>
      <c r="BL2">
        <v>31.29</v>
      </c>
      <c r="BM2">
        <v>31.37</v>
      </c>
      <c r="BN2">
        <v>31.44</v>
      </c>
      <c r="BO2">
        <v>31.52</v>
      </c>
      <c r="BP2">
        <v>31.61</v>
      </c>
      <c r="BQ2">
        <v>31.69</v>
      </c>
      <c r="BR2">
        <v>31.77</v>
      </c>
      <c r="BS2">
        <v>31.85</v>
      </c>
      <c r="BT2">
        <v>31.93</v>
      </c>
      <c r="BU2">
        <v>32.01</v>
      </c>
      <c r="BV2">
        <v>32.1</v>
      </c>
      <c r="BW2">
        <v>32.18</v>
      </c>
      <c r="BX2">
        <v>32.26</v>
      </c>
      <c r="BY2">
        <v>32.35</v>
      </c>
      <c r="BZ2">
        <v>32.43</v>
      </c>
      <c r="CA2">
        <v>32.51</v>
      </c>
      <c r="CB2">
        <v>32.6</v>
      </c>
      <c r="CC2">
        <v>32.68</v>
      </c>
      <c r="CD2">
        <v>32.770000000000003</v>
      </c>
      <c r="CE2">
        <v>32.85</v>
      </c>
      <c r="CF2">
        <v>32.94</v>
      </c>
      <c r="CG2">
        <v>33.020000000000003</v>
      </c>
      <c r="CH2">
        <v>33.11</v>
      </c>
      <c r="CI2">
        <v>33.19</v>
      </c>
      <c r="CJ2">
        <v>33.28</v>
      </c>
      <c r="CK2">
        <v>33.36</v>
      </c>
      <c r="CL2">
        <v>33.450000000000003</v>
      </c>
      <c r="CM2">
        <v>33.53</v>
      </c>
      <c r="CN2">
        <v>33.619999999999997</v>
      </c>
      <c r="CO2">
        <v>33.700000000000003</v>
      </c>
      <c r="CP2">
        <v>33.79</v>
      </c>
      <c r="CQ2">
        <v>33.869999999999997</v>
      </c>
      <c r="CR2">
        <v>33.96</v>
      </c>
      <c r="CS2">
        <v>34.04</v>
      </c>
      <c r="CT2">
        <v>34.130000000000003</v>
      </c>
      <c r="CU2">
        <v>34.21</v>
      </c>
      <c r="CV2">
        <v>34.299999999999997</v>
      </c>
      <c r="CW2">
        <v>34.380000000000003</v>
      </c>
      <c r="CX2">
        <v>34.47</v>
      </c>
      <c r="CY2">
        <v>34.549999999999997</v>
      </c>
      <c r="CZ2">
        <v>34.64</v>
      </c>
      <c r="DA2">
        <v>34.72</v>
      </c>
      <c r="DB2">
        <v>34.81</v>
      </c>
      <c r="DC2">
        <v>34.89</v>
      </c>
      <c r="DD2">
        <v>34.979999999999997</v>
      </c>
      <c r="DE2">
        <v>35.06</v>
      </c>
      <c r="DF2">
        <v>35.14</v>
      </c>
      <c r="DG2">
        <v>35.229999999999997</v>
      </c>
      <c r="DH2">
        <v>35.31</v>
      </c>
      <c r="DI2">
        <v>35.39</v>
      </c>
      <c r="DJ2">
        <v>35.479999999999997</v>
      </c>
      <c r="DK2">
        <v>35.56</v>
      </c>
      <c r="DL2">
        <v>35.64</v>
      </c>
      <c r="DM2">
        <v>35.729999999999997</v>
      </c>
      <c r="DN2">
        <v>35.81</v>
      </c>
      <c r="DO2">
        <v>35.89</v>
      </c>
      <c r="DP2">
        <v>35.97</v>
      </c>
      <c r="DQ2">
        <v>36.049999999999997</v>
      </c>
      <c r="DR2">
        <v>36.14</v>
      </c>
      <c r="DS2">
        <v>36.22</v>
      </c>
      <c r="DT2">
        <v>36.299999999999997</v>
      </c>
      <c r="DU2">
        <v>36.380000000000003</v>
      </c>
      <c r="DV2">
        <v>36.46</v>
      </c>
      <c r="DW2">
        <v>36.54</v>
      </c>
      <c r="DX2">
        <v>36.619999999999997</v>
      </c>
      <c r="DY2">
        <v>36.700000000000003</v>
      </c>
      <c r="DZ2">
        <v>36.78</v>
      </c>
      <c r="EA2">
        <v>36.86</v>
      </c>
      <c r="EB2">
        <v>36.94</v>
      </c>
      <c r="EC2">
        <v>37.020000000000003</v>
      </c>
      <c r="ED2">
        <v>37.1</v>
      </c>
      <c r="EE2">
        <v>37.18</v>
      </c>
      <c r="EF2">
        <v>37.25</v>
      </c>
      <c r="EG2">
        <v>37.33</v>
      </c>
      <c r="EH2">
        <v>37.409999999999997</v>
      </c>
      <c r="EI2">
        <v>37.49</v>
      </c>
      <c r="EJ2">
        <v>37.56</v>
      </c>
      <c r="EK2">
        <v>37.64</v>
      </c>
      <c r="EL2">
        <v>37.72</v>
      </c>
      <c r="EM2">
        <v>37.79</v>
      </c>
      <c r="EN2">
        <v>37.869999999999997</v>
      </c>
      <c r="EO2">
        <v>37.950000000000003</v>
      </c>
      <c r="EP2">
        <v>38.020000000000003</v>
      </c>
      <c r="EQ2">
        <v>39.200000000000003</v>
      </c>
      <c r="ER2">
        <v>41.86</v>
      </c>
      <c r="ES2">
        <v>44.16</v>
      </c>
      <c r="ET2">
        <v>46.17</v>
      </c>
    </row>
    <row r="3" spans="1:150" x14ac:dyDescent="0.25">
      <c r="A3" s="2"/>
      <c r="B3" s="3"/>
    </row>
    <row r="150" spans="12:12" x14ac:dyDescent="0.25">
      <c r="L150">
        <f>RTD("esrtd",,"C 26NC700000-ICE","Strike")</f>
        <v>7000</v>
      </c>
    </row>
    <row r="151" spans="12:12" x14ac:dyDescent="0.25">
      <c r="L151">
        <f>RTD("esrtd",,"C 26NC750000-ICE","Strike")</f>
        <v>7500</v>
      </c>
    </row>
    <row r="152" spans="12:12" x14ac:dyDescent="0.25">
      <c r="L152">
        <f>RTD("esrtd",,"C 26NC770000-ICE","Strike")</f>
        <v>7700</v>
      </c>
    </row>
    <row r="153" spans="12:12" x14ac:dyDescent="0.25">
      <c r="L153">
        <f>RTD("esrtd",,"C 26NC800000-ICE","Strike")</f>
        <v>8000</v>
      </c>
    </row>
    <row r="154" spans="12:12" x14ac:dyDescent="0.25">
      <c r="L154">
        <f>RTD("esrtd",,"C 26NC850000-ICE","Strike")</f>
        <v>8500</v>
      </c>
    </row>
    <row r="155" spans="12:12" x14ac:dyDescent="0.25">
      <c r="L155">
        <f>RTD("esrtd",,"C 26NC900000-ICE","Strike")</f>
        <v>9000</v>
      </c>
    </row>
    <row r="156" spans="12:12" x14ac:dyDescent="0.25">
      <c r="L156">
        <f>RTD("esrtd",,"C 26NC1000000-ICE","Strike")</f>
        <v>10000</v>
      </c>
    </row>
    <row r="157" spans="12:12" x14ac:dyDescent="0.25">
      <c r="L157">
        <f>RTD("esrtd",,"C 26NC1100000-ICE","Strike")</f>
        <v>11000</v>
      </c>
    </row>
    <row r="158" spans="12:12" x14ac:dyDescent="0.25">
      <c r="L158">
        <f>RTD("esrtd",,"C 26NC1200000-ICE","Strike")</f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53FF-A33A-433A-834D-ACE45DAE0384}">
  <dimension ref="A1:FC2"/>
  <sheetViews>
    <sheetView workbookViewId="0">
      <selection activeCell="G25" sqref="G25"/>
    </sheetView>
  </sheetViews>
  <sheetFormatPr defaultRowHeight="15" x14ac:dyDescent="0.25"/>
  <cols>
    <col min="1" max="1" width="10.42578125" bestFit="1" customWidth="1"/>
  </cols>
  <sheetData>
    <row r="1" spans="1:159" x14ac:dyDescent="0.25">
      <c r="A1" t="s">
        <v>0</v>
      </c>
      <c r="B1" t="s">
        <v>6</v>
      </c>
      <c r="C1" t="s">
        <v>7</v>
      </c>
      <c r="D1">
        <f>RTD("esrtd",,"C 26NC200000-ICE","Strike")</f>
        <v>2000</v>
      </c>
      <c r="E1">
        <f>RTD("esrtd",,"C 26NC250000-ICE","Strike")</f>
        <v>2500</v>
      </c>
      <c r="F1">
        <f>RTD("esrtd",,"C 26NC280000-ICE","Strike")</f>
        <v>2800</v>
      </c>
      <c r="G1">
        <f>RTD("esrtd",,"C 26NC290000-ICE","Strike")</f>
        <v>2900</v>
      </c>
      <c r="H1">
        <f>RTD("esrtd",,"C 26NC300000-ICE","Strike")</f>
        <v>3000</v>
      </c>
      <c r="I1">
        <f>RTD("esrtd",,"C 26NC320000-ICE","Strike")</f>
        <v>3200</v>
      </c>
      <c r="J1">
        <f>RTD("esrtd",,"C 26NC322500-ICE","Strike")</f>
        <v>3225</v>
      </c>
      <c r="K1">
        <f>RTD("esrtd",,"C 26NC325000-ICE","Strike")</f>
        <v>3250</v>
      </c>
      <c r="L1">
        <f>RTD("esrtd",,"C 26NC327500-ICE","Strike")</f>
        <v>3275</v>
      </c>
      <c r="M1">
        <f>RTD("esrtd",,"C 26NC330000-ICE","Strike")</f>
        <v>3300</v>
      </c>
      <c r="N1">
        <f>RTD("esrtd",,"C 26NC332500-ICE","Strike")</f>
        <v>3325</v>
      </c>
      <c r="O1">
        <f>RTD("esrtd",,"C 26NC335000-ICE","Strike")</f>
        <v>3350</v>
      </c>
      <c r="P1">
        <f>RTD("esrtd",,"C 26NC337500-ICE","Strike")</f>
        <v>3375</v>
      </c>
      <c r="Q1">
        <f>RTD("esrtd",,"C 26NC340000-ICE","Strike")</f>
        <v>3400</v>
      </c>
      <c r="R1">
        <f>RTD("esrtd",,"C 26NC342500-ICE","Strike")</f>
        <v>3425</v>
      </c>
      <c r="S1">
        <f>RTD("esrtd",,"C 26NC345000-ICE","Strike")</f>
        <v>3450</v>
      </c>
      <c r="T1">
        <f>RTD("esrtd",,"C 26NC347500-ICE","Strike")</f>
        <v>3475</v>
      </c>
      <c r="U1">
        <f>RTD("esrtd",,"C 26NC350000-ICE","Strike")</f>
        <v>3500</v>
      </c>
      <c r="V1">
        <f>RTD("esrtd",,"C 26NC352500-ICE","Strike")</f>
        <v>3525</v>
      </c>
      <c r="W1">
        <f>RTD("esrtd",,"C 26NC355000-ICE","Strike")</f>
        <v>3550</v>
      </c>
      <c r="X1">
        <f>RTD("esrtd",,"C 26NC357500-ICE","Strike")</f>
        <v>3575</v>
      </c>
      <c r="Y1">
        <f>RTD("esrtd",,"C 26NC360000-ICE","Strike")</f>
        <v>3600</v>
      </c>
      <c r="Z1">
        <f>RTD("esrtd",,"C 26NC362500-ICE","Strike")</f>
        <v>3625</v>
      </c>
      <c r="AA1">
        <f>RTD("esrtd",,"C 26NC365000-ICE","Strike")</f>
        <v>3650</v>
      </c>
      <c r="AB1">
        <f>RTD("esrtd",,"C 26NC367500-ICE","Strike")</f>
        <v>3675</v>
      </c>
      <c r="AC1">
        <f>RTD("esrtd",,"C 26NC370000-ICE","Strike")</f>
        <v>3700</v>
      </c>
      <c r="AD1">
        <f>RTD("esrtd",,"C 26NC372500-ICE","Strike")</f>
        <v>3725</v>
      </c>
      <c r="AE1">
        <f>RTD("esrtd",,"C 26NC375000-ICE","Strike")</f>
        <v>3750</v>
      </c>
      <c r="AF1">
        <f>RTD("esrtd",,"C 26NC377500-ICE","Strike")</f>
        <v>3775</v>
      </c>
      <c r="AG1">
        <f>RTD("esrtd",,"C 26NC380000-ICE","Strike")</f>
        <v>3800</v>
      </c>
      <c r="AH1">
        <f>RTD("esrtd",,"C 26NC382500-ICE","Strike")</f>
        <v>3825</v>
      </c>
      <c r="AI1">
        <f>RTD("esrtd",,"C 26NC385000-ICE","Strike")</f>
        <v>3850</v>
      </c>
      <c r="AJ1">
        <f>RTD("esrtd",,"C 26NC387500-ICE","Strike")</f>
        <v>3875</v>
      </c>
      <c r="AK1">
        <f>RTD("esrtd",,"C 26NC390000-ICE","Strike")</f>
        <v>3900</v>
      </c>
      <c r="AL1">
        <f>RTD("esrtd",,"C 26NC392500-ICE","Strike")</f>
        <v>3925</v>
      </c>
      <c r="AM1">
        <f>RTD("esrtd",,"C 26NC395000-ICE","Strike")</f>
        <v>3950</v>
      </c>
      <c r="AN1">
        <f>RTD("esrtd",,"C 26NC397500-ICE","Strike")</f>
        <v>3975</v>
      </c>
      <c r="AO1">
        <f>RTD("esrtd",,"C 26NC400000-ICE","Strike")</f>
        <v>4000</v>
      </c>
      <c r="AP1">
        <f>RTD("esrtd",,"C 26NC402500-ICE","Strike")</f>
        <v>4025</v>
      </c>
      <c r="AQ1">
        <f>RTD("esrtd",,"C 26NC405000-ICE","Strike")</f>
        <v>4050</v>
      </c>
      <c r="AR1">
        <f>RTD("esrtd",,"C 26NC407500-ICE","Strike")</f>
        <v>4075</v>
      </c>
      <c r="AS1">
        <f>RTD("esrtd",,"C 26NC410000-ICE","Strike")</f>
        <v>4100</v>
      </c>
      <c r="AT1">
        <f>RTD("esrtd",,"C 26NC412500-ICE","Strike")</f>
        <v>4125</v>
      </c>
      <c r="AU1">
        <f>RTD("esrtd",,"C 26NC415000-ICE","Strike")</f>
        <v>4150</v>
      </c>
      <c r="AV1">
        <f>RTD("esrtd",,"C 26NC417500-ICE","Strike")</f>
        <v>4175</v>
      </c>
      <c r="AW1">
        <f>RTD("esrtd",,"C 26NC420000-ICE","Strike")</f>
        <v>4200</v>
      </c>
      <c r="AX1">
        <f>RTD("esrtd",,"C 26NC422500-ICE","Strike")</f>
        <v>4225</v>
      </c>
      <c r="AY1">
        <f>RTD("esrtd",,"C 26NC425000-ICE","Strike")</f>
        <v>4250</v>
      </c>
      <c r="AZ1">
        <f>RTD("esrtd",,"C 26NC427500-ICE","Strike")</f>
        <v>4275</v>
      </c>
      <c r="BA1">
        <f>RTD("esrtd",,"C 26NC430000-ICE","Strike")</f>
        <v>4300</v>
      </c>
      <c r="BB1">
        <f>RTD("esrtd",,"C 26NC432500-ICE","Strike")</f>
        <v>4325</v>
      </c>
      <c r="BC1">
        <f>RTD("esrtd",,"C 26NC435000-ICE","Strike")</f>
        <v>4350</v>
      </c>
      <c r="BD1">
        <f>RTD("esrtd",,"C 26NC437500-ICE","Strike")</f>
        <v>4375</v>
      </c>
      <c r="BE1">
        <f>RTD("esrtd",,"C 26NC440000-ICE","Strike")</f>
        <v>4400</v>
      </c>
      <c r="BF1">
        <f>RTD("esrtd",,"C 26NC442500-ICE","Strike")</f>
        <v>4425</v>
      </c>
      <c r="BG1">
        <f>RTD("esrtd",,"C 26NC445000-ICE","Strike")</f>
        <v>4450</v>
      </c>
      <c r="BH1">
        <f>RTD("esrtd",,"C 26NC447500-ICE","Strike")</f>
        <v>4475</v>
      </c>
      <c r="BI1">
        <f>RTD("esrtd",,"C 26NC450000-ICE","Strike")</f>
        <v>4500</v>
      </c>
      <c r="BJ1">
        <f>RTD("esrtd",,"C 26NC452500-ICE","Strike")</f>
        <v>4525</v>
      </c>
      <c r="BK1">
        <f>RTD("esrtd",,"C 26NC455000-ICE","Strike")</f>
        <v>4550</v>
      </c>
      <c r="BL1">
        <f>RTD("esrtd",,"C 26NC457500-ICE","Strike")</f>
        <v>4575</v>
      </c>
      <c r="BM1">
        <f>RTD("esrtd",,"C 26NC460000-ICE","Strike")</f>
        <v>4600</v>
      </c>
      <c r="BN1">
        <f>RTD("esrtd",,"C 26NC462500-ICE","Strike")</f>
        <v>4625</v>
      </c>
      <c r="BO1">
        <f>RTD("esrtd",,"C 26NC465000-ICE","Strike")</f>
        <v>4650</v>
      </c>
      <c r="BP1">
        <f>RTD("esrtd",,"C 26NC467500-ICE","Strike")</f>
        <v>4675</v>
      </c>
      <c r="BQ1">
        <f>RTD("esrtd",,"C 26NC470000-ICE","Strike")</f>
        <v>4700</v>
      </c>
      <c r="BR1">
        <f>RTD("esrtd",,"C 26NC472500-ICE","Strike")</f>
        <v>4725</v>
      </c>
      <c r="BS1">
        <f>RTD("esrtd",,"C 26NC475000-ICE","Strike")</f>
        <v>4750</v>
      </c>
      <c r="BT1">
        <f>RTD("esrtd",,"C 26NC477500-ICE","Strike")</f>
        <v>4775</v>
      </c>
      <c r="BU1">
        <f>RTD("esrtd",,"C 26NC480000-ICE","Strike")</f>
        <v>4800</v>
      </c>
      <c r="BV1">
        <f>RTD("esrtd",,"C 26NC482500-ICE","Strike")</f>
        <v>4825</v>
      </c>
      <c r="BW1">
        <f>RTD("esrtd",,"C 26NC485000-ICE","Strike")</f>
        <v>4850</v>
      </c>
      <c r="BX1">
        <f>RTD("esrtd",,"C 26NC487500-ICE","Strike")</f>
        <v>4875</v>
      </c>
      <c r="BY1">
        <f>RTD("esrtd",,"C 26NC490000-ICE","Strike")</f>
        <v>4900</v>
      </c>
      <c r="BZ1">
        <f>RTD("esrtd",,"C 26NC492500-ICE","Strike")</f>
        <v>4925</v>
      </c>
      <c r="CA1">
        <f>RTD("esrtd",,"C 26NC495000-ICE","Strike")</f>
        <v>4950</v>
      </c>
      <c r="CB1">
        <f>RTD("esrtd",,"C 26NC497500-ICE","Strike")</f>
        <v>4975</v>
      </c>
      <c r="CC1">
        <f>RTD("esrtd",,"C 26NC500000-ICE","Strike")</f>
        <v>5000</v>
      </c>
      <c r="CD1">
        <f>RTD("esrtd",,"C 26NC502500-ICE","Strike")</f>
        <v>5025</v>
      </c>
      <c r="CE1">
        <f>RTD("esrtd",,"C 26NC505000-ICE","Strike")</f>
        <v>5050</v>
      </c>
      <c r="CF1">
        <f>RTD("esrtd",,"C 26NC507500-ICE","Strike")</f>
        <v>5075</v>
      </c>
      <c r="CG1">
        <f>RTD("esrtd",,"C 26NC510000-ICE","Strike")</f>
        <v>5100</v>
      </c>
      <c r="CH1">
        <f>RTD("esrtd",,"C 26NC512500-ICE","Strike")</f>
        <v>5125</v>
      </c>
      <c r="CI1">
        <f>RTD("esrtd",,"C 26NC515000-ICE","Strike")</f>
        <v>5150</v>
      </c>
      <c r="CJ1">
        <f>RTD("esrtd",,"C 26NC517500-ICE","Strike")</f>
        <v>5175</v>
      </c>
      <c r="CK1">
        <f>RTD("esrtd",,"C 26NC520000-ICE","Strike")</f>
        <v>5200</v>
      </c>
      <c r="CL1">
        <f>RTD("esrtd",,"C 26NC522500-ICE","Strike")</f>
        <v>5225</v>
      </c>
      <c r="CM1">
        <f>RTD("esrtd",,"C 26NC525000-ICE","Strike")</f>
        <v>5250</v>
      </c>
      <c r="CN1">
        <f>RTD("esrtd",,"C 26NC527500-ICE","Strike")</f>
        <v>5275</v>
      </c>
      <c r="CO1">
        <f>RTD("esrtd",,"C 26NC530000-ICE","Strike")</f>
        <v>5300</v>
      </c>
      <c r="CP1">
        <f>RTD("esrtd",,"C 26NC532500-ICE","Strike")</f>
        <v>5325</v>
      </c>
      <c r="CQ1">
        <f>RTD("esrtd",,"C 26NC535000-ICE","Strike")</f>
        <v>5350</v>
      </c>
      <c r="CR1">
        <f>RTD("esrtd",,"C 26NC537500-ICE","Strike")</f>
        <v>5375</v>
      </c>
      <c r="CS1">
        <f>RTD("esrtd",,"C 26NC540000-ICE","Strike")</f>
        <v>5400</v>
      </c>
      <c r="CT1">
        <f>RTD("esrtd",,"C 26NC542500-ICE","Strike")</f>
        <v>5425</v>
      </c>
      <c r="CU1">
        <f>RTD("esrtd",,"C 26NC545000-ICE","Strike")</f>
        <v>5450</v>
      </c>
      <c r="CV1">
        <f>RTD("esrtd",,"C 26NC547500-ICE","Strike")</f>
        <v>5475</v>
      </c>
      <c r="CW1">
        <f>RTD("esrtd",,"C 26NC550000-ICE","Strike")</f>
        <v>5500</v>
      </c>
      <c r="CX1">
        <f>RTD("esrtd",,"C 26NC552500-ICE","Strike")</f>
        <v>5525</v>
      </c>
      <c r="CY1">
        <f>RTD("esrtd",,"C 26NC555000-ICE","Strike")</f>
        <v>5550</v>
      </c>
      <c r="CZ1">
        <f>RTD("esrtd",,"C 26NC557500-ICE","Strike")</f>
        <v>5575</v>
      </c>
      <c r="DA1">
        <f>RTD("esrtd",,"C 26NC560000-ICE","Strike")</f>
        <v>5600</v>
      </c>
      <c r="DB1">
        <f>RTD("esrtd",,"C 26NC562500-ICE","Strike")</f>
        <v>5625</v>
      </c>
      <c r="DC1">
        <f>RTD("esrtd",,"C 26NC565000-ICE","Strike")</f>
        <v>5650</v>
      </c>
      <c r="DD1">
        <f>RTD("esrtd",,"C 26NC567500-ICE","Strike")</f>
        <v>5675</v>
      </c>
      <c r="DE1">
        <f>RTD("esrtd",,"C 26NC570000-ICE","Strike")</f>
        <v>5700</v>
      </c>
      <c r="DF1">
        <f>RTD("esrtd",,"C 26NC572500-ICE","Strike")</f>
        <v>5725</v>
      </c>
      <c r="DG1">
        <f>RTD("esrtd",,"C 26NC575000-ICE","Strike")</f>
        <v>5750</v>
      </c>
      <c r="DH1">
        <f>RTD("esrtd",,"C 26NC577500-ICE","Strike")</f>
        <v>5775</v>
      </c>
      <c r="DI1">
        <f>RTD("esrtd",,"C 26NC580000-ICE","Strike")</f>
        <v>5800</v>
      </c>
      <c r="DJ1">
        <f>RTD("esrtd",,"C 26NC582500-ICE","Strike")</f>
        <v>5825</v>
      </c>
      <c r="DK1">
        <f>RTD("esrtd",,"C 26NC585000-ICE","Strike")</f>
        <v>5850</v>
      </c>
      <c r="DL1">
        <f>RTD("esrtd",,"C 26NC587500-ICE","Strike")</f>
        <v>5875</v>
      </c>
      <c r="DM1">
        <f>RTD("esrtd",,"C 26NC590000-ICE","Strike")</f>
        <v>5900</v>
      </c>
      <c r="DN1">
        <f>RTD("esrtd",,"C 26NC592500-ICE","Strike")</f>
        <v>5925</v>
      </c>
      <c r="DO1">
        <f>RTD("esrtd",,"C 26NC595000-ICE","Strike")</f>
        <v>5950</v>
      </c>
      <c r="DP1">
        <f>RTD("esrtd",,"C 26NC597500-ICE","Strike")</f>
        <v>5975</v>
      </c>
      <c r="DQ1">
        <f>RTD("esrtd",,"C 26NC600000-ICE","Strike")</f>
        <v>6000</v>
      </c>
      <c r="DR1">
        <f>RTD("esrtd",,"C 26NC602500-ICE","Strike")</f>
        <v>6025</v>
      </c>
      <c r="DS1">
        <f>RTD("esrtd",,"C 26NC605000-ICE","Strike")</f>
        <v>6050</v>
      </c>
      <c r="DT1">
        <f>RTD("esrtd",,"C 26NC607500-ICE","Strike")</f>
        <v>6075</v>
      </c>
      <c r="DU1">
        <f>RTD("esrtd",,"C 26NC610000-ICE","Strike")</f>
        <v>6100</v>
      </c>
      <c r="DV1">
        <f>RTD("esrtd",,"C 26NC612500-ICE","Strike")</f>
        <v>6125</v>
      </c>
      <c r="DW1">
        <f>RTD("esrtd",,"C 26NC615000-ICE","Strike")</f>
        <v>6150</v>
      </c>
      <c r="DX1">
        <f>RTD("esrtd",,"C 26NC617500-ICE","Strike")</f>
        <v>6175</v>
      </c>
      <c r="DY1">
        <f>RTD("esrtd",,"C 26NC620000-ICE","Strike")</f>
        <v>6200</v>
      </c>
      <c r="DZ1">
        <f>RTD("esrtd",,"C 26NC622500-ICE","Strike")</f>
        <v>6225</v>
      </c>
      <c r="EA1">
        <f>RTD("esrtd",,"C 26NC625000-ICE","Strike")</f>
        <v>6250</v>
      </c>
      <c r="EB1">
        <f>RTD("esrtd",,"C 26NC627500-ICE","Strike")</f>
        <v>6275</v>
      </c>
      <c r="EC1">
        <f>RTD("esrtd",,"C 26NC630000-ICE","Strike")</f>
        <v>6300</v>
      </c>
      <c r="ED1">
        <f>RTD("esrtd",,"C 26NC632500-ICE","Strike")</f>
        <v>6325</v>
      </c>
      <c r="EE1">
        <f>RTD("esrtd",,"C 26NC635000-ICE","Strike")</f>
        <v>6350</v>
      </c>
      <c r="EF1">
        <f>RTD("esrtd",,"C 26NC637500-ICE","Strike")</f>
        <v>6375</v>
      </c>
      <c r="EG1">
        <f>RTD("esrtd",,"C 26NC640000-ICE","Strike")</f>
        <v>6400</v>
      </c>
      <c r="EH1">
        <f>RTD("esrtd",,"C 26NC642500-ICE","Strike")</f>
        <v>6425</v>
      </c>
      <c r="EI1">
        <f>RTD("esrtd",,"C 26NC645000-ICE","Strike")</f>
        <v>6450</v>
      </c>
      <c r="EJ1">
        <f>RTD("esrtd",,"C 26NC647500-ICE","Strike")</f>
        <v>6475</v>
      </c>
      <c r="EK1">
        <f>RTD("esrtd",,"C 26NC650000-ICE","Strike")</f>
        <v>6500</v>
      </c>
      <c r="EL1">
        <f>RTD("esrtd",,"C 26NC652500-ICE","Strike")</f>
        <v>6525</v>
      </c>
      <c r="EM1">
        <f>RTD("esrtd",,"C 26NC655000-ICE","Strike")</f>
        <v>6550</v>
      </c>
      <c r="EN1">
        <f>RTD("esrtd",,"C 26NC657500-ICE","Strike")</f>
        <v>6575</v>
      </c>
      <c r="EO1">
        <f>RTD("esrtd",,"C 26NC660000-ICE","Strike")</f>
        <v>6600</v>
      </c>
      <c r="EP1">
        <f>RTD("esrtd",,"C 26NC662500-ICE","Strike")</f>
        <v>6625</v>
      </c>
      <c r="EQ1">
        <f>RTD("esrtd",,"C 26NC665000-ICE","Strike")</f>
        <v>6650</v>
      </c>
      <c r="ER1">
        <f>RTD("esrtd",,"C 26NC667500-ICE","Strike")</f>
        <v>6675</v>
      </c>
      <c r="ES1">
        <f>RTD("esrtd",,"C 26NC670000-ICE","Strike")</f>
        <v>6700</v>
      </c>
      <c r="ET1">
        <f>RTD("esrtd",,"C 26NC672500-ICE","Strike")</f>
        <v>6725</v>
      </c>
      <c r="EU1">
        <f>RTD("esrtd",,"C 26NC700000-ICE","Strike")</f>
        <v>7000</v>
      </c>
      <c r="EV1">
        <f>RTD("esrtd",,"C 26NC750000-ICE","Strike")</f>
        <v>7500</v>
      </c>
      <c r="EW1">
        <f>RTD("esrtd",,"C 26NC770000-ICE","Strike")</f>
        <v>7700</v>
      </c>
      <c r="EX1">
        <f>RTD("esrtd",,"C 26NC800000-ICE","Strike")</f>
        <v>8000</v>
      </c>
      <c r="EY1">
        <f>RTD("esrtd",,"C 26NC850000-ICE","Strike")</f>
        <v>8500</v>
      </c>
      <c r="EZ1">
        <f>RTD("esrtd",,"C 26NC900000-ICE","Strike")</f>
        <v>9000</v>
      </c>
      <c r="FA1">
        <f>RTD("esrtd",,"C 26NC1000000-ICE","Strike")</f>
        <v>10000</v>
      </c>
      <c r="FB1">
        <f>RTD("esrtd",,"C 26NC1100000-ICE","Strike")</f>
        <v>11000</v>
      </c>
      <c r="FC1">
        <f>RTD("esrtd",,"C 26NC1200000-ICE","Strike")</f>
        <v>12000</v>
      </c>
    </row>
    <row r="2" spans="1:159" x14ac:dyDescent="0.25">
      <c r="A2" s="4">
        <v>45973</v>
      </c>
      <c r="B2" s="3">
        <v>4196</v>
      </c>
      <c r="C2">
        <v>230</v>
      </c>
      <c r="D2">
        <v>37.299999999999997</v>
      </c>
      <c r="E2">
        <v>34.72</v>
      </c>
      <c r="F2">
        <v>33.42</v>
      </c>
      <c r="G2">
        <v>33.04</v>
      </c>
      <c r="H2">
        <v>32.68</v>
      </c>
      <c r="I2">
        <v>32.04</v>
      </c>
      <c r="J2">
        <v>31.97</v>
      </c>
      <c r="K2">
        <v>31.9</v>
      </c>
      <c r="L2">
        <v>31.83</v>
      </c>
      <c r="M2">
        <v>31.77</v>
      </c>
      <c r="N2">
        <v>31.71</v>
      </c>
      <c r="O2">
        <v>31.65</v>
      </c>
      <c r="P2">
        <v>31.59</v>
      </c>
      <c r="Q2">
        <v>31.54</v>
      </c>
      <c r="R2">
        <v>31.48</v>
      </c>
      <c r="S2">
        <v>31.43</v>
      </c>
      <c r="T2">
        <v>31.39</v>
      </c>
      <c r="U2">
        <v>31.34</v>
      </c>
      <c r="V2">
        <v>31.3</v>
      </c>
      <c r="W2">
        <v>31.26</v>
      </c>
      <c r="X2">
        <v>31.23</v>
      </c>
      <c r="Y2">
        <v>31.2</v>
      </c>
      <c r="Z2">
        <v>31.17</v>
      </c>
      <c r="AA2">
        <v>31.14</v>
      </c>
      <c r="AB2">
        <v>31.12</v>
      </c>
      <c r="AC2">
        <v>31.1</v>
      </c>
      <c r="AD2">
        <v>31.08</v>
      </c>
      <c r="AE2">
        <v>31.07</v>
      </c>
      <c r="AF2">
        <v>31.06</v>
      </c>
      <c r="AG2">
        <v>31.05</v>
      </c>
      <c r="AH2">
        <v>31.05</v>
      </c>
      <c r="AI2">
        <v>31.05</v>
      </c>
      <c r="AJ2">
        <v>31.06</v>
      </c>
      <c r="AK2">
        <v>31.06</v>
      </c>
      <c r="AL2">
        <v>31.07</v>
      </c>
      <c r="AM2">
        <v>31.09</v>
      </c>
      <c r="AN2">
        <v>31.11</v>
      </c>
      <c r="AO2">
        <v>31.13</v>
      </c>
      <c r="AP2">
        <v>31.15</v>
      </c>
      <c r="AQ2">
        <v>31.18</v>
      </c>
      <c r="AR2">
        <v>31.21</v>
      </c>
      <c r="AS2">
        <v>31.24</v>
      </c>
      <c r="AT2">
        <v>31.28</v>
      </c>
      <c r="AU2">
        <v>31.32</v>
      </c>
      <c r="AV2">
        <v>31.36</v>
      </c>
      <c r="AW2">
        <v>31.41</v>
      </c>
      <c r="AX2">
        <v>31.45</v>
      </c>
      <c r="AY2">
        <v>31.5</v>
      </c>
      <c r="AZ2">
        <v>31.56</v>
      </c>
      <c r="BA2">
        <v>31.61</v>
      </c>
      <c r="BB2">
        <v>31.67</v>
      </c>
      <c r="BC2">
        <v>31.73</v>
      </c>
      <c r="BD2">
        <v>31.79</v>
      </c>
      <c r="BE2">
        <v>31.85</v>
      </c>
      <c r="BF2">
        <v>31.91</v>
      </c>
      <c r="BG2">
        <v>31.98</v>
      </c>
      <c r="BH2">
        <v>32.049999999999997</v>
      </c>
      <c r="BI2">
        <v>32.119999999999997</v>
      </c>
      <c r="BJ2">
        <v>32.19</v>
      </c>
      <c r="BK2">
        <v>32.26</v>
      </c>
      <c r="BL2">
        <v>32.33</v>
      </c>
      <c r="BM2">
        <v>32.4</v>
      </c>
      <c r="BN2">
        <v>32.479999999999997</v>
      </c>
      <c r="BO2">
        <v>32.549999999999997</v>
      </c>
      <c r="BP2">
        <v>32.630000000000003</v>
      </c>
      <c r="BQ2">
        <v>32.700000000000003</v>
      </c>
      <c r="BR2">
        <v>32.78</v>
      </c>
      <c r="BS2">
        <v>32.86</v>
      </c>
      <c r="BT2">
        <v>32.94</v>
      </c>
      <c r="BU2">
        <v>33.020000000000003</v>
      </c>
      <c r="BV2">
        <v>33.1</v>
      </c>
      <c r="BW2">
        <v>33.18</v>
      </c>
      <c r="BX2">
        <v>33.26</v>
      </c>
      <c r="BY2">
        <v>33.340000000000003</v>
      </c>
      <c r="BZ2">
        <v>33.42</v>
      </c>
      <c r="CA2">
        <v>33.5</v>
      </c>
      <c r="CB2">
        <v>33.58</v>
      </c>
      <c r="CC2">
        <v>33.659999999999997</v>
      </c>
      <c r="CD2">
        <v>33.74</v>
      </c>
      <c r="CE2">
        <v>33.83</v>
      </c>
      <c r="CF2">
        <v>33.909999999999997</v>
      </c>
      <c r="CG2">
        <v>33.99</v>
      </c>
      <c r="CH2">
        <v>34.07</v>
      </c>
      <c r="CI2">
        <v>34.15</v>
      </c>
      <c r="CJ2">
        <v>34.229999999999997</v>
      </c>
      <c r="CK2">
        <v>34.32</v>
      </c>
      <c r="CL2">
        <v>34.4</v>
      </c>
      <c r="CM2">
        <v>34.479999999999997</v>
      </c>
      <c r="CN2">
        <v>34.56</v>
      </c>
      <c r="CO2">
        <v>34.64</v>
      </c>
      <c r="CP2">
        <v>34.72</v>
      </c>
      <c r="CQ2">
        <v>34.799999999999997</v>
      </c>
      <c r="CR2">
        <v>34.880000000000003</v>
      </c>
      <c r="CS2">
        <v>34.96</v>
      </c>
      <c r="CT2">
        <v>35.04</v>
      </c>
      <c r="CU2">
        <v>35.119999999999997</v>
      </c>
      <c r="CV2">
        <v>35.200000000000003</v>
      </c>
      <c r="CW2">
        <v>35.28</v>
      </c>
      <c r="CX2">
        <v>35.36</v>
      </c>
      <c r="CY2">
        <v>35.44</v>
      </c>
      <c r="CZ2">
        <v>35.520000000000003</v>
      </c>
      <c r="DA2">
        <v>35.6</v>
      </c>
      <c r="DB2">
        <v>35.68</v>
      </c>
      <c r="DC2">
        <v>35.76</v>
      </c>
      <c r="DD2">
        <v>35.83</v>
      </c>
      <c r="DE2">
        <v>35.909999999999997</v>
      </c>
      <c r="DF2">
        <v>35.99</v>
      </c>
      <c r="DG2">
        <v>36.07</v>
      </c>
      <c r="DH2">
        <v>36.14</v>
      </c>
      <c r="DI2">
        <v>36.22</v>
      </c>
      <c r="DJ2">
        <v>36.29</v>
      </c>
      <c r="DK2">
        <v>36.369999999999997</v>
      </c>
      <c r="DL2">
        <v>36.44</v>
      </c>
      <c r="DM2">
        <v>36.520000000000003</v>
      </c>
      <c r="DN2">
        <v>36.590000000000003</v>
      </c>
      <c r="DO2">
        <v>36.67</v>
      </c>
      <c r="DP2">
        <v>36.74</v>
      </c>
      <c r="DQ2">
        <v>36.82</v>
      </c>
      <c r="DR2">
        <v>36.89</v>
      </c>
      <c r="DS2">
        <v>36.96</v>
      </c>
      <c r="DT2">
        <v>37.04</v>
      </c>
      <c r="DU2">
        <v>37.11</v>
      </c>
      <c r="DV2">
        <v>37.18</v>
      </c>
      <c r="DW2">
        <v>37.25</v>
      </c>
      <c r="DX2">
        <v>37.32</v>
      </c>
      <c r="DY2">
        <v>37.4</v>
      </c>
      <c r="DZ2">
        <v>37.47</v>
      </c>
      <c r="EA2">
        <v>37.54</v>
      </c>
      <c r="EB2">
        <v>37.61</v>
      </c>
      <c r="EC2">
        <v>37.68</v>
      </c>
      <c r="ED2">
        <v>37.75</v>
      </c>
      <c r="EE2">
        <v>37.82</v>
      </c>
      <c r="EF2">
        <v>37.89</v>
      </c>
      <c r="EG2">
        <v>37.950000000000003</v>
      </c>
      <c r="EH2">
        <v>38.020000000000003</v>
      </c>
      <c r="EI2">
        <v>38.090000000000003</v>
      </c>
      <c r="EJ2">
        <v>38.159999999999997</v>
      </c>
      <c r="EK2">
        <v>38.229999999999997</v>
      </c>
      <c r="EL2">
        <v>38.29</v>
      </c>
      <c r="EM2">
        <v>38.36</v>
      </c>
      <c r="EN2">
        <v>38.43</v>
      </c>
      <c r="EO2">
        <v>38.49</v>
      </c>
      <c r="EP2">
        <v>38.56</v>
      </c>
      <c r="EQ2">
        <v>38.630000000000003</v>
      </c>
      <c r="ER2">
        <v>38.69</v>
      </c>
      <c r="ES2">
        <v>38.76</v>
      </c>
      <c r="ET2">
        <v>38.82</v>
      </c>
      <c r="EU2">
        <v>39.520000000000003</v>
      </c>
      <c r="EV2">
        <v>40.69</v>
      </c>
      <c r="EW2">
        <v>41.14</v>
      </c>
      <c r="EX2">
        <v>41.78</v>
      </c>
      <c r="EY2">
        <v>42.78</v>
      </c>
      <c r="EZ2">
        <v>43.7</v>
      </c>
      <c r="FA2">
        <v>45.37</v>
      </c>
      <c r="FB2">
        <v>46.83</v>
      </c>
      <c r="FC2">
        <v>48.13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Sep26</vt:lpstr>
      <vt:lpstr>Jul26</vt:lpstr>
      <vt:lpstr>IV Sep26</vt:lpstr>
      <vt:lpstr>IV Jul26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TALOUB</dc:creator>
  <cp:lastModifiedBy>Lucas TALOUB</cp:lastModifiedBy>
  <dcterms:created xsi:type="dcterms:W3CDTF">2025-11-13T10:46:22Z</dcterms:created>
  <dcterms:modified xsi:type="dcterms:W3CDTF">2025-11-14T12:51:41Z</dcterms:modified>
</cp:coreProperties>
</file>